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rant\PhD\SLR\Manuscript\"/>
    </mc:Choice>
  </mc:AlternateContent>
  <xr:revisionPtr revIDLastSave="0" documentId="13_ncr:1_{42CB1515-D05C-482A-A1D3-E0F6B8EA0309}" xr6:coauthVersionLast="47" xr6:coauthVersionMax="47" xr10:uidLastSave="{00000000-0000-0000-0000-000000000000}"/>
  <bookViews>
    <workbookView xWindow="28680" yWindow="-120" windowWidth="25440" windowHeight="15270" activeTab="3" xr2:uid="{00000000-000D-0000-FFFF-FFFF00000000}"/>
  </bookViews>
  <sheets>
    <sheet name="Reporting Quality Assessment" sheetId="3" r:id="rId1"/>
    <sheet name="Articles Extraction" sheetId="1" r:id="rId2"/>
    <sheet name="Demographic Analysis" sheetId="2" r:id="rId3"/>
    <sheet name="Modality Analysis" sheetId="4" r:id="rId4"/>
    <sheet name="Achitectural Design Analysis" sheetId="6" r:id="rId5"/>
    <sheet name="Tokenization &amp; Alignment Analys" sheetId="8" r:id="rId6"/>
    <sheet name="Task Extraction &amp; Analysis" sheetId="5" r:id="rId7"/>
    <sheet name="Datasets" sheetId="9" r:id="rId8"/>
    <sheet name="Evaluation Metrics" sheetId="12" r:id="rId9"/>
    <sheet name="Challenges &amp; Limitations" sheetId="10" r:id="rId10"/>
  </sheets>
  <definedNames>
    <definedName name="_xlnm._FilterDatabase" localSheetId="1" hidden="1">'Articles Extraction'!$A$1:$AC$60</definedName>
    <definedName name="_xlnm._FilterDatabase" localSheetId="7" hidden="1">Datasets!$A$1:$E$59</definedName>
    <definedName name="_xlnm._FilterDatabase" localSheetId="8" hidden="1">'Evaluation Metrics'!$A$1:$E$1</definedName>
    <definedName name="_xlnm._FilterDatabase" localSheetId="6" hidden="1">'Task Extraction &amp; Analysis'!$A$1:$F$59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12" l="1"/>
  <c r="G8" i="8"/>
  <c r="R37" i="2"/>
  <c r="C15" i="8"/>
  <c r="C6" i="8"/>
  <c r="I6" i="9"/>
  <c r="AF11" i="3"/>
  <c r="AF10" i="3"/>
  <c r="AF9" i="3"/>
  <c r="AF8" i="3"/>
  <c r="AF7" i="3"/>
  <c r="AF5" i="3"/>
  <c r="AF4" i="3"/>
  <c r="AF3" i="3"/>
  <c r="AF6" i="3"/>
  <c r="Y30" i="3"/>
  <c r="Y29" i="3"/>
  <c r="Y28" i="3"/>
  <c r="Y27" i="3" a="1"/>
  <c r="Y26" i="3"/>
  <c r="Y25" i="3" a="1"/>
  <c r="Y24" i="3"/>
  <c r="Y23" i="3"/>
  <c r="Y22" i="3"/>
  <c r="Y15" i="3"/>
  <c r="Y13" i="3"/>
  <c r="Y14" i="3"/>
  <c r="Y11" i="3"/>
  <c r="Y12" i="3"/>
  <c r="Y10" i="3"/>
  <c r="AB6" i="3"/>
  <c r="Z6" i="3"/>
  <c r="AA6" i="3"/>
  <c r="Y6" i="3"/>
  <c r="AB4" i="3"/>
  <c r="AB5" i="3"/>
  <c r="AB3" i="3"/>
  <c r="Y4" i="3"/>
  <c r="Y5" i="3"/>
  <c r="Z4" i="3"/>
  <c r="Z5" i="3"/>
  <c r="Z3" i="3"/>
  <c r="AA4" i="3"/>
  <c r="AA5" i="3"/>
  <c r="AA3" i="3"/>
  <c r="Y3" i="3"/>
  <c r="I48" i="3"/>
  <c r="U5"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9" i="3"/>
  <c r="U52" i="3"/>
  <c r="U53" i="3"/>
  <c r="U54" i="3"/>
  <c r="U56" i="3"/>
  <c r="U57" i="3"/>
  <c r="U58" i="3"/>
  <c r="U59" i="3"/>
  <c r="U60" i="3"/>
  <c r="U3" i="3"/>
  <c r="T5"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9" i="3"/>
  <c r="T52" i="3"/>
  <c r="T53" i="3"/>
  <c r="T54" i="3"/>
  <c r="T56" i="3"/>
  <c r="T57" i="3"/>
  <c r="T58" i="3"/>
  <c r="T59" i="3"/>
  <c r="T60" i="3"/>
  <c r="T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9" i="3"/>
  <c r="I50" i="3"/>
  <c r="I51" i="3"/>
  <c r="I52" i="3"/>
  <c r="I53" i="3"/>
  <c r="I54" i="3"/>
  <c r="I55" i="3"/>
  <c r="I56" i="3"/>
  <c r="I57" i="3"/>
  <c r="I58" i="3"/>
  <c r="I59" i="3"/>
  <c r="I60" i="3"/>
  <c r="I3" i="3"/>
  <c r="U6" i="3" l="1"/>
  <c r="T6" i="3"/>
  <c r="U4" i="3"/>
  <c r="T4" i="3"/>
  <c r="U55" i="3"/>
  <c r="T55" i="3"/>
  <c r="T50" i="3"/>
  <c r="U50" i="3"/>
  <c r="U51" i="3"/>
  <c r="T51" i="3"/>
  <c r="T48" i="3"/>
  <c r="U48" i="3"/>
  <c r="AJ8" i="2"/>
  <c r="B6" i="4" l="1"/>
  <c r="AI8" i="2" l="1"/>
  <c r="C11" i="6"/>
  <c r="AE13" i="2"/>
  <c r="F16" i="2" l="1"/>
  <c r="N13" i="2"/>
  <c r="B9" i="2"/>
  <c r="J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<sst xmlns="http://schemas.openxmlformats.org/spreadsheetml/2006/main" count="3098" uniqueCount="1418">
  <si>
    <t>doi</t>
  </si>
  <si>
    <t>Large-Small Model Synergy with Multimodal Fine-Grained Heuristics for Knowledge-Based Visual Question Answering</t>
  </si>
  <si>
    <t>Sun, Zhongfan and Guo, Kan and Hu, Yongli and Tian, Daxin and Gao, Qingqing and Wang, Jiapu and Gao, Junbin and Sun, Yanfeng and Yin, Baocai</t>
  </si>
  <si>
    <t>Multimodal Large Language Models (MLLMs) possess extensive knowledge and strong reasoning capabilities, achieving remarkable performance in knowledge-based visual question answering, significantly surpassing traditional small-scale Vision-Language Models (VLMs). However, the distinct training paradigms of MLLMs and small-scale VLMs result in misaligned feature representation spaces and divergent answer prediction distributions. To bridge this gap, we propose a novel end-to-end large-small model synergy framework, where small VLMs and MLLMs collaborate via synergistic optimization of shared objectives while maintaining their co-evolving complementary specializations. Specifically, multimodal fine-grained heuristics are extracted from well-tuned small VLMs and subsequently projected into the textual space of MLLMs through dedicated visual and textual collaboration modules. This enables cross-modal guidance for both visual and textual inputs. Finally, a dual-objective synergy loss promotes alignment toward shared goals, while a visual discrepancy loss preserves specialization diversity. Extensive experiments demonstrate that our framework achieves state-of-the-art performance on both the OK-VQA and A-OKVQA benchmarks.</t>
  </si>
  <si>
    <t>10.1145/3746027.3754750</t>
  </si>
  <si>
    <t>MIRA: A Novel Framework for Fusing Modalities in Medical RAG</t>
  </si>
  <si>
    <t>Wang, Jinhong and Ashraf, Tajamul and Han, Zongyan and Laaksonen, Jorma and Anwer, Rao Muhammad</t>
  </si>
  <si>
    <t>Multimodal Large Language Models (MLLM) have significantly advanced AI-assisted medical diagnosis, but often generate factually inconsistent responses that deviate from established medical knowledge. Retrieval-Augmented Generation (RAG) enhances factual accuracy by integrating external sources, but it presents two key challenges. First, insufficient retrieval can miss critical information, whereas excessive retrieval can introduce irrelevant or misleading content, disrupting model output. Second, even when the model initially provides correct answers, over-reliance on retrieved data can lead to factual errors. To address these issues, we introduce Multimodal Intelligent Retrieval and Augmentation (MIRA) framework, designed to optimize factual accuracy in MLLM. MIRA consists of two key components: (1) a calibrated Rethinking and Rearrangement module that dynamically adjusts the number of retrieved contexts to manage factual risk, and (2) A medical RAG framework integrating image embeddings and a medical knowledge base with a query-rewrite module for efficient multimodal reasoning. This enables the model to effectively integrate both its inherent knowledge and external references. Our evaluation of publicly available medical VQA and report generation benchmarks demonstrates that MIRA substantially enhances factual accuracy and overall performance, achieving new state-of-the-art results. Code is released at https://github.com/mbzuai-oryx/MIRA.</t>
  </si>
  <si>
    <t>10.1145/3746027.3755760</t>
  </si>
  <si>
    <t>VISA: Group-wise Visual Token Selection and Aggregation via Graph Summarization for Efficient MLLMs Inference</t>
  </si>
  <si>
    <t>Jiang, Pengfei and Li, Hanjun and Zhao, Linglan and Chao, Fei and Yan, Ke and Ding, Shouhong and Ji, Rongrong</t>
  </si>
  <si>
    <t>In this study, we introduce a novel method called group-wise VI sual token Selection and Aggregation (VISA) to address the issue of inefficient inference stemming from excessive visual tokens in multimoal large language models (MLLMs). Compared with previous token pruning approaches, our method can preserve more visual information while compressing visual tokens. We first propose a graph-based visual token aggregation (VTA) module. VTA treats each visual token as a node, forming a graph based on semantic similarity among visual tokens. It then aggregates information from removed tokens into kept tokens based on this graph, producing a more compact visual token representation. Additionally, we introduce a group-wise token selection strategy (GTS) to divide visual tokens into kept and removed ones, guided by text tokens from the final layers of each group. This strategy progressively aggregates visual information, enhancing the stability of the visual information extraction process. We conduct comprehensive experiments on LLaVA-1.5, LLaVA-NeXT, and Video-LLaVA across various benchmarks to validate the efficacy of VISA. Our method consistently outperforms previous methods, achieving a superior trade-off between model performance and inference speed.</t>
  </si>
  <si>
    <t>10.1145/3746027.3755792</t>
  </si>
  <si>
    <t>Unifying Multimodal Transformer for Bi-directional Image and Text Generation</t>
  </si>
  <si>
    <t>Huang, Yupan and Xue, Hongwei and Liu, Bei and Lu, Yutong</t>
  </si>
  <si>
    <t>We study the joint learning of image-to-text and text-to-image generations, which are naturally bi-directional tasks. Typical existing works design two separate task-specific models for each task, which impose expensive design efforts. In this work, we propose a unified image-and-text generative framework based on a single multimodal model to jointly study the bi-directional tasks. We adopt Transformer as our unified architecture for its strong performance and task-agnostic design. Specifically, we formulate both tasks as sequence generation tasks, where we represent images and text as unified sequences of tokens, and the Transformer learns multimodal interactions to generate sequences. We further propose two-level granularity feature representations and sequence-level training to improve the Transformer-based unified framework. Experiments show that our approach significantly improves previous Transformer-based model X-LXMERT's FID from 37.0 to 29.9 (lower is better) for text-to-image generation, and improves CIDEr-D score from 100.9% to 122.6% for fine-tuned image-to-text generation on the MS-COCO dataset. Our code is available online.</t>
  </si>
  <si>
    <t>10.1145/3474085.3481540</t>
  </si>
  <si>
    <t>All in One: Exploring Unified Vision-Language Tracking with Multi-Modal Alignment</t>
  </si>
  <si>
    <t>Zhang, Chunhui and Sun, Xin and Yang, Yiqian and Liu, Li and Liu, Qiong and Zhou, Xi and Wang, Yanfeng</t>
  </si>
  <si>
    <t>Current mainstream vision-language (VL) tracking framework consists of three parts,i.e., a visual feature extractor, a language feature extractor, and a fusion model. To pursue better performance, a natural modus operandi for VL tracking is employing customized and heavier unimodal encoders, and multi-modal fusion models. Albeit effective, existing VL trackers separate feature extraction and feature integration, resulting in extracted features that lack semantic guidance and have limited target-aware capability in complex scenarios, e.g., similar distractors and extreme illumination. In this work, inspired by the recent success of exploring foundation models with unified architecture for both natural language and computer vision tasks, we propose an All-in-One framework, which learns joint feature extraction and interaction by adopting a unified transformer backbone. Specifically, we mix raw vision and language signals to generate language-injected vision tokens, which we then concatenate before feeding into the unified backbone architecture. This approach achieves feature integration in a unified backbone, removing the need for carefully-designed fusion modules and resulting in a more effective and efficient VL tracking framework. To further improve the learning efficiency, we introduce a multi-modal alignment module based on cross-modal and intra-modal contrastive objectives, providing more reasonable representations for the unified All-in-One transformer backbone. Extensive experiments on five benchmarks, i.e., OTB99-L, TNL2K, LaSOT, LaSOTExt and WebUAV-3M, demonstrate the superiority of the proposed tracker against existing state-of-the-art (SOTA) methods on VL tracking. Codes will be available at https://github.com/983632847/All-in-One here.</t>
  </si>
  <si>
    <t>10.1145/3581783.3611803</t>
  </si>
  <si>
    <t>Global Question-Aware Multimodal Retrieval-Augmented Generation for Multimedia Multi-Hop Question Answering</t>
  </si>
  <si>
    <t>Shen, Zhixiao and Yu, Jianfei and Wang, Wenya and Xia, Rui</t>
  </si>
  <si>
    <t>Multimedia Multi-Hop Question Answering (MMQA) is a complex task that requires models to reason over and integrate information from both visual (e.g., images) and textual (e.g., documents) modalities to answer questions that cannot be resolved in a single step. Existing methods for MMQA suffer from two common limitations: (1) insufficient cross-modal information fusion, which restricts interaction between different modalities; and (2) weak global understanding of multi-hop questions, making them vulnerable to distractions from intermediate steps. To address these challenges, we introduce Global question-aware Multimodal Retrieval-Augmented Generation (GMRAG), a framework designed to enhance cross-modal reasoning and improve retrieval precision for multi-hop multimodal questions. It brings two core innovations: (1) restructuring the training data into a global question-aware, evidence-centric retrieval dataset, enabling the retriever to perform richer cross-modal reasoning on multi-hop multimodal questions and to identify globally relevant information more effectively; and (2) employing cross-modal contrastive learning to fine-tune a joint image-text encoder, achieving stronger alignment between holistic multimodal questions and evidence. The retrieved evidence is then directly fed into a Multimodal Large Language Models (MLLMs) to generate the final answer to the original question, eliminating dependence on potentially flawed intermediate answers and thus mitigating error propagation. Experimental results on two public MMQA datasets show that GMRAG consistently outperforms existing RAG methods across various MLLMs.</t>
  </si>
  <si>
    <t>10.1145/3743093.3771062</t>
  </si>
  <si>
    <t>Multimodal Large Language Models for IoT Device Collaboration and Intelligent Design</t>
  </si>
  <si>
    <t>Geng, Lijie and Liu, Huiyi and Wan, Tengfei</t>
  </si>
  <si>
    <t>This study explores the design of a multimodal language model (MLLM) for the Internet of Things (IoT), emphasizing the synergy between software algorithms and intelligent hardware systems. With the increasing proliferation of IoT devices, there is a growing demand for models that can process both visual and textual data to enhance decision-making capabilities. Our proposed MLLM integrates Convolutional Neural Networks (CNNs) with Transformer architectures, optimized to operate within hardware-embedded systems for real-time processing. Experimental results show that the model achieves a 15% improvement in task-specific accuracy and reduces processing time by 10% compared to baseline approaches, demonstrating its efficiency and adaptability. These findings highlight the importance of multimodal approaches in IoT applications, enabling smart environments to respond intelligently and efficiently. Future work will focus on refining hardware-software co-optimization and expanding real-time capabilities across more diverse IoT scenarios.</t>
  </si>
  <si>
    <t>10.1145/3702191.3703362</t>
  </si>
  <si>
    <t>Dual-Enhanced Item Representation for Bundle Construction via Category-Wise and Cross-Modality Learning</t>
  </si>
  <si>
    <t>Nguyen, Long Hai and Nguyen, Huy Son and Thi Nguyen, Cam Van and Le, Duc Trong and Takasu, Atsuhiro and Le, Hoang Quynh</t>
  </si>
  <si>
    <t>Bundle recommender systems merely learn from existing bundles, but obtaining large-scale, high-quality bundle datasets remains a challenge, especially for platforms newly adopting bundle services. Bundle construction is the task of automatically selecting a set of compatible items to form a coherent bundle, a vital step before making recommendations on bundle-aware platforms. Groundbreaking work on bundle construction, like CLHE, has been designed solely on user-item interaction and self-attention modules to learn item/bundle representations. These techniques fall short of the standards for coherent bundles in real-world applications, where the relation among the semantic information of items should be considered more thoroughly. To address these challenges, we explicitly leverage category-wise information and employ cross-modal fusion to enhance item representations. By doing so, we propose Caro: Dual-Enhanced Item Representation for Bundle Construction via Category-Wise and Cross-Modality Learning. Caro captures the inherent relationships between items within analogous categories, improving bundle coherence. It comprises three main components: (1) cross-modality enhanced item representation, (2) category-enhanced item representation, and (3) bundle contrastive learning. Extensive experiments and detailed analyzes using multiple real-world datasets demonstrate that our method outperforms existing state-of-the-art techniques and provides valuable insight into the bundle construction problem. Notably, Caro achieves a 5-8% higher Recall@20 than the strongest baseline, underscoring its performance gains through dual category-wise and cross-modal enhancements. Our repository is available at https://github.com/L2R-UET/CaRo.</t>
  </si>
  <si>
    <t>10.1145/3767695.3769501</t>
  </si>
  <si>
    <t>Multimodal Contrastive Learning for Music with Incomplete Modalities</t>
  </si>
  <si>
    <t>Nakata, Koto and Eguchi, Koji</t>
  </si>
  <si>
    <t>In this paper, we propose a multimodal contrastive learning model for music information processing that integrates three modalities - -MIDI, audio, and text - - while effectively handling cases where some modalities are missing. Previous research has largely focused on integrating two modalities, such as audio-text or MIDI-text. To the best of our knowledge, no prior studies have explored the integration of more than two modalities in the context of music. Given that MIDI is widely used in music, and audio and text are even more prevalent, our goal is to increase the practical applicability of our approach in the music domain by integrating MIDI, audio, and text modalities. We utilize a pretrained CLAP audio encoder and text encoder, along with a dataset that aligns MIDI with text captions, to enable common embeddings across these three modalities. Due to the limited availability of MIDI-audio-aligned datasets, we avoid direct contrastive learning between MIDI and audio. Instead, we integrate MIDI-text alignment into the audio-text embedding space, allowing MIDI and audio embeddings to be indirectly aligned through the text modality. Additionally, we incorporate Content-Aware Loss Weighting into the loss function to improve the effectiveness of text-aligned multimodal contrastive learning. This technique adjusts weights to mitigate the adverse effects of coincidentally co-occurring word tokens between anchor and negative samples. Experimental results show that the proposed model outperforms existing methods in both cross-modal retrieval and zero-shot classification tasks.</t>
  </si>
  <si>
    <t>10.1145/3731715.3733488</t>
  </si>
  <si>
    <t>Rare Disease Phenotyping via Self-Supervised Multimodal Learning</t>
  </si>
  <si>
    <t>Uppalapati, Khartik and Yimenicioglu, Bora and Eftekhari, Adan and Abdulkareem, Shakeel</t>
  </si>
  <si>
    <t>Rare genetic disorders often subject patients to years-long "diagnostic odysseys"involving fragmented analyses of genome sequences, neuroimaging scans, and biosignal recordings. We propose a multimodal self-supervised foundation model that learns unified representations from whole exome sequencing (WES), volumetric MRI, and wearable sensor data to phenotype rare diseases. In contrast to siloed machine learning pipelines, our approach uses a single transformer-based encoder-decoder architecture for all three data modalities. We optimize a cross-modal contrastive loss to align patient-specific multimodal features, alongside an ontology-based loss grounding representations in biomedical knowledge graphs. Across zero-shot retrieval and classification tasks, our model outperforms state-of-the-art specialized baselines. We demonstrate zero-shot rare-disease identification with a +5.6% AUROC gain over the best prior method. Key contributions include: (i) a unified multimodal transformer that handles genomic variants, 3-D images, and time-series signals, (ii) an ontology-aligned latent space that embeds patient data alongside Human Phenotype Ontology (HPO) terms, and (iii) extensive experiments showing improved recall in zero-shot rare disease retrieval and clinically meaningful attention-based explanations.</t>
  </si>
  <si>
    <t>10.1145/3765612.3767304</t>
  </si>
  <si>
    <t>A Multi-modal Interaction Approach to Enhance Natural Language Descriptions of Remote Sensing Images</t>
  </si>
  <si>
    <t>Hu, Dongming and Geng, Lijie and Yang, Xiaojiang and Wei, Bin</t>
  </si>
  <si>
    <t>Recent advancements in multimodal language models have shown rapid progress. This study explores and enhances the utilization of vision-language models in remote sensing image recognition. We propose a multimodal large language model (MLLM) based on the CLIP and Opt models and validate it across three distinct remote sensing image datasets. Experimental results demonstrate significant performance improvements of our model on the SIRI-WHU, Sydney Caption, and WHU-RS19 datasets, achieving accuracies of 82.13%, 81.34%, and 81.76%, respectively, surpassing existing vision-language models. Additionally, we conduct ablation experiments to verify the importance of model components, revealing that joint training of the Clip and Opt models is crucial for enhancing our model's performance.</t>
  </si>
  <si>
    <t>10.1145/3662739.3665683</t>
  </si>
  <si>
    <t>AcFormer: An Aligned and Compact Transformer for Multimodal Sentiment Analysis</t>
  </si>
  <si>
    <t>Zong, Daoming and Ding, Chaoyue and Li, Baoxiang and Li, Jiakui and Zheng, Ken and Zhou, Qunyan</t>
  </si>
  <si>
    <t>Multimodal Sentiment Analysis (MSA) is a popular research topic aimed at utilizing multimodal signals for understanding human emotions. The primary approach to solving this task is to develop complex fusion techniques. However, the heterogeneity and unaligned nature between modalities pose significant challenges to fusion. Additionally, existing methods lack consideration for the efficiency of modal fusion. To tackle these issues, we propose AcFormer, which contains two core ingredients: i) contrastive learning within and across modalities to explicitly align different modality streams before fusion; and ii) pivot attention for multimodal interaction/fusion. The former encourages positive triplets of image-audio-text to have similar representations in contrast to negative ones. The latter introduces attention pivots that can serve as cross-modal information bridges and limit cross-modal attention to a certain number of fusion pivot tokens. We evaluate AcFormer on multiple MSA tasks, including multimodal emotion recognition, humor detection, and sarcasm detection. Empirical evidence shows that AcFormer achieves the optimal performance with minimal computation cost compared to previous state-of-the-art methods. Our code is publicly available at https://github.com/dingchaoyue/AcFormer.</t>
  </si>
  <si>
    <t>10.1145/3581783.3611974</t>
  </si>
  <si>
    <t>Text-and-Image Learning Transformer for Cross-Modal Person Re-Identification</t>
  </si>
  <si>
    <t>ACM Transactions on Multimedia Computing, Communications and Applications</t>
  </si>
  <si>
    <t>Wu, Tinghui and Zhang, Shuhe and Chen, Dihu and Hu, Haifeng</t>
  </si>
  <si>
    <t>Text-based person re-identification aims to find the target person from a large pedestrian gallery with the given natural language description. Previous works mainly focus on embedding salient textual and visual representations in a common latent space by utilizing the dual-path structure or parameter-shared network. However, they still lack the ability to effectively extract fine-grained unimodal features as well as fuse the cross-modal data, leading to the increase of misaligned cases. To settle these issues, we propose a text-and-image implicit learning Transformer (TILT) to eliminate textual anisotropy and enhance the cross-modal alignment from both domains based on the bi-direction multi-modal encoders. Specifically, we apply the pre-trained multi-modal embedding module to overcome the unimodal anisotropy problem with contrastive learning, and map fine-grained features with dual encoder in bi-directional masking. Then, we design the cross-modal interaction encoder to comprehensively mine implicit cross-modal relations by reconstructing masked tokens, and fuse rich multi-modal knowledge in a common space. In addition, the cross-modal similarity matching module is proposed to optimize the intra-domain classification and decrease the inter-domain divergence. Extensive experiments are conducted on three public benchmarks CUHK-PEDES, ICFG-PEDES, and RSTPReid to verify the effectiveness of our proposed framework. Results prove that our model outperforms state-of-the-art methods on all metrics.</t>
  </si>
  <si>
    <t>10.1145/3686160</t>
  </si>
  <si>
    <t>OFIA: An Object-centric Fine-grained Alignment Enhancement for Video-Text Retrieval</t>
  </si>
  <si>
    <t>Huang, Zhengqi and Li, Wei and Dong, Chuang and Liu, Mingxin</t>
  </si>
  <si>
    <t>Text-video alignment is crucial for text-video retrieval. Empirical studies have suggested that coarse-grained alignment overlooks the rich cross-modal details and therefore performs worse than fine-grained alignment. In the current transfer learning paradigm, although researchers primarily utilize patch-level or frame-level embedding as the fine-grained video representation for alignment, the frame embeddings miss the informative visual information, while a single patch only captures limited local details. These defects hinder the potential improvement in video-text retrieval. To address the defects of the existing fine-grained alignment approach, this paper proposes the Object-centric Fine-grained Alignment Enhancement for Video-Text Retrieval, namely OFIA, which consists of a text-guided object-text alignment module and a similarity-wise frame aggregation module to enhance video-text alignment. The text-guided object-text alignment module leverages the textual descriptions to detect and extract more relevant objects, enabling more precise local similarities within video frames. However, not all frames contribute equally to effective alignments. The similarity-wise frame aggregation module assigns greater importance to informative frames, overcoming the challenge of insignificant ones and optimizing the similarity of matched video-text pairs. The empirical evaluation on benchmark datasets including MSRVTT, MSVD, DiDeMo, and ActivityNet demonstrate state-of-the-art performance of the proposed method.</t>
  </si>
  <si>
    <t>10.1145/3746252.3761041</t>
  </si>
  <si>
    <t>Contrastive Pretraining with Dual Visual Encoders for Gloss-Free Sign Language Translation</t>
  </si>
  <si>
    <t>Mercanoglu Sincan, Ozge and Bowden, Richard</t>
  </si>
  <si>
    <t>Sign Language Translation (SLT) aims to convert sign language videos into spoken or written text. While early systems relied on gloss annotations as an intermediate supervision, such annotations are costly to obtain and often fail to capture the full complexity of continuous signing. In this work, we propose a two-phase, dual visual encoder framework for gloss-free SLT, leveraging contrastive visual-language pretraining. During pretraining, our approach employs two complementary visual backbones whose outputs are jointly aligned with each other and with sentence-level text embeddings via a contrastive objective. During the downstream SLT task, we fuse the visual features and input them into an encoder-decoder model. On the Phoenix-2014T benchmark, our dual encoder architecture consistently outperforms its single-stream variants and achieves the highest BLEU-4 score among existing gloss-free SLT approaches.</t>
  </si>
  <si>
    <t>10.1145/3742886.3756703</t>
  </si>
  <si>
    <t>Modal Contrastive Learning Based End-to-End Text Image Machine Translation</t>
  </si>
  <si>
    <t>IEEE/ACM Transactions on Audio Speech and Language Processing</t>
  </si>
  <si>
    <t>Ma, Cong and Han, Xu and Wu, Linghui and Zhang, Yaping and Zhao, Yang and Zhou, Yu and Zong, Chengqing</t>
  </si>
  <si>
    <t>Text image machine translation (TIMT) aims at directly translating text in the source language embedded in images into the target language. Most existing systems follow the cascaded pipeline diagram from recognition to translation, which suffers from the problem of error propagation, parameter redundancy, and information reduction. The end-to-end model has the potential to alleviate these issues via bridging the recognition and translation models. However, the challenge is the data limitation and modality gap between text and image. In this paper, we propose a novel end-to-end model, namely Modal contrastive learning based End-to-end Text Image Machine Translation (METIMT), which alleviates these issues through end-to-end text image machine translation architecture and modal contrastive learning. Specifically, an image encoder is designed to encode images into the same feature space of corresponding text sentences, with the guidance of an intra-modal and inter-modal contrastive learning module. To further promote the research of text image machine translation, we have constructed one synthetic and two real-world datasets. Extensive experiments show that our lighter, faster model outperforms not only existing pipeline methods but also state-of-the-art end-to-end models on both synthetic and real-world evaluation sets. Our code and dataset will be released to the public.</t>
  </si>
  <si>
    <t>10.1109/TASLP.2023.3324540</t>
  </si>
  <si>
    <t>Enhancing Multimodal Knowledge Graph Embeddings Using Visual Prompting in Language Models</t>
  </si>
  <si>
    <t>Aneesh, K. B. and Shreyas, C. and Shreyas, M. N. and Grandhi, Suma and Das, Bhaskarjyoti</t>
  </si>
  <si>
    <t>Pre-trained language models (PLM) [1,2] cannot well capture factual knowledge from text. Knowledge embeddings (KE) [3,4] can effectively represent the relational facts in knowledge graphs with information entity embeddings, but conventional KE models cannot interpret the abundant textual information effectively. Existing methodologies integrate entity knowledge while learning representations, but these methods lack the flexibility to apply to multimodalities. In this paper, we present a framework specifically designed for Multimodal Knowledge Graphs (MKG) [5,6]. The goal of our approach is encoding information from different modalities into embeddings, making use of PLMs, multimodal learning techniques and visual prompting [7]. To improve the integration of visual information in the multimodal KG embeddings, our method employs visual prompt.</t>
  </si>
  <si>
    <t>10.1145/3728985.3728999</t>
  </si>
  <si>
    <t>Multimodal Large Language Model with LoRA Fine-Tuning for Multimodal Sentiment Analysis</t>
  </si>
  <si>
    <t>ACM Transactions on Intelligent Systems and Technology</t>
  </si>
  <si>
    <t>Mu, Jie and Wang, Wei and Liu, Wenqi and Yan, Tiantian and Wang, Guanglu</t>
  </si>
  <si>
    <t>Multimodal sentiment analysis has become a popular research topic in recent years. However, existing methods have two unaddressed limitations: (1) they use limited supervised labels to train models, which makes it impossible for model to fully learn sentiments in different modal data; (2) they employ text and image pre-trained models trained in different unimodal tasks to extract different modal features, so that the extracted features cannot take into account the interactive information between image and text. To solve these problems, in this paper we propose a Vision-Language Contrastive Learning network (VLCLNet). First, we introduce a pre-trained Large Language Model (LLM), which is trained from vast quantities of multimodal data, has better understanding ability for image and text contents, thus being effectively applied to different tasks while requiring few amount of labelled training data. Second, we adapt a Multimodal Large Language Model (MLLM), BLIP-2 (Bootstrapping Language-Image Pre-training) network, to extract multimodal fusion feature. Such MLLM can fully consider the correlation between images and texts when extracting features. In addition, due to the discrepancy between the pre-training task and the sentiment analysis task, the pre-trained model will output the suboptimal prediction results. We use Low-Rank Adaptation (LoRA) fine-tuning strategy to update the model parameters on sentiment analysis task, which avoids the issue of inconsistent task between pre-training task and downstream task. Experiments verify that the proposed VLCLNet is superior to other strong baselines.</t>
  </si>
  <si>
    <t>10.1145/3709147</t>
  </si>
  <si>
    <t>BALM-TSF: Balanced Multimodal Alignment for LLM-Based Time Series Forecasting</t>
  </si>
  <si>
    <t>Zhou, Shiqiao and SchÃ¶ner, Holger and Lyu, Huanbo and FouchÃ©, Edouard and Wang, Shuo</t>
  </si>
  <si>
    <t>Time series forecasting is a long-standing and highly challenging research topic. Recently, driven by the rise of large language models (LLMs), research has increasingly shifted from purely time series methods toward harnessing textual modalities to enhance forecasting performance. However, the vast discrepancy between text and temporal data often leads current multimodal architectures to over-emphasise one modality while neglecting the other, resulting in information loss that harms forecasting performance. To address this modality imbalance, we introduce BALM-TSF (Balanced Multimodal Alignment for LLM-Based Time Series Forecasting), a lightweight time series forecasting framework that maintains balance between the two modalities. Specifically, raw time series are processed by the time series encoder, while descriptive statistics of raw time series are fed to an LLM with learnable prompt, producing compact textual embeddings. To ensure balanced cross-modal context alignment of time series and textual embeddings, a simple yet effective scaling strategy combined with a contrastive objective then maps these textual embeddings into the latent space of the time series embeddings. Finally, the aligned textual semantic embeddings and time series embeddings are together integrated for forecasting. Extensive experiments on standard benchmarks show that, with minimal trainable parameters, BALM-TSF achieves state-of-the-art performance in both long-term and few-shot forecasting, confirming its ability to harness complementary information from text and time series. Code is available at https://github.com/ShiqiaoZhou/BALM-TSF.</t>
  </si>
  <si>
    <t>10.1145/3746252.3761278</t>
  </si>
  <si>
    <t>Text as Any-Modality for Zero-Shot Classification by Consistent Prompt Tuning</t>
  </si>
  <si>
    <t>Wu, Xiangyu and Yu, Feng and Yang, Yang and Lu, Jianfeng</t>
  </si>
  <si>
    <t>The integration of prompt tuning with multimodal learning has shown significant generalization abilities for various downstream tasks. Despite advancements, existing methods heavily depend on massive modality-specific labeled data (e.g., video, audio, and image), or are customized for a single modality. In this study, we present Text as Any-Modality by Consistent Prompt Tuning (TaAM-CPT), a scalable approach for constructing a general representation model toward unlimited modalities using solely text data. TaAM-CPT comprises modality prompt pools, text construction, and modality-aligned text encoders from pre-trained models, which allows for extending new modalities by simply adding prompt pools and modality-aligned text encoders. To harmonize the learning across different modalities, TaAM-CPT designs intra- and inter-modal learning objectives, which can capture category details within modalities while maintaining semantic consistency across different modalities. Benefiting from its scalable architecture and pre-trained models, TaAM-CPT can be seamlessly extended to accommodate unlimited modalities. Remarkably, without any modality-specific labeled data, TaAM-CPT achieves leading results on diverse datasets spanning various modalities, including video classification, image classification, and audio classification. The code is available at https://github.com/Jinx630/TaAM-CPT.</t>
  </si>
  <si>
    <t>10.1145/3746027.3755288</t>
  </si>
  <si>
    <t>ShapeGPT: 3D Shape Generation With a Unified Multi-Modal Language Model</t>
  </si>
  <si>
    <t>IEEE Transactions on Multimedia</t>
  </si>
  <si>
    <t>F. Yin and X. Chen and C. Zhang and B. Jiang and Z. Zhao and W. Liu and G. Yu and T. Chen</t>
  </si>
  <si>
    <t>The advent of large language models, which enable flexibility through instruction-driven approaches, has revolutionized many traditional generative tasks, but large models for 3D data, particularly in comprehensively handling 3D shapes with other modalities, are still under-explored. By achieving instruction-based shape generation, versatile multi-modal generative shape models can significantly benefit various fields, such as 3D virtual construction and network-aided design. In this article, we present ShapeGPT, a shape-included multi-modal framework to leverage strong pre-trained language models to address multiple shape-relevant tasks. Specifically, ShapeGPT employs a â€œword-sentence-paragraphâ€ framework to discretize continuous shapes into shape words, further assembles these words into shape sentences, and integrates shape with instructional text for multi-modal paragraphs. To learn this shape-language model, we use a three-stage training scheme, including shape representation, multi-modal alignment, and instruction-based generation, to align shape-language codebooks and learn the intricate correlations among these modalities. Extensive experiments demonstrate that ShapeGPT achieves comparable performance across shape-relevant tasks, including text-to-shape, shape-to-text, shape completion, and shape editing.</t>
  </si>
  <si>
    <t>10.1109/TMM.2025.3535389</t>
  </si>
  <si>
    <t>Revisiting Multimodal Representation in Contrastive Learning: From Patch and Token Embeddings to Finite Discrete Tokens</t>
  </si>
  <si>
    <t>2023 IEEE/CVF Conference on Computer Vision and Pattern Recognition (CVPR)</t>
  </si>
  <si>
    <t>Y. Chen and J. Yuan and Y. Tian and S. Geng and X. Li and D. Zhou and D. N. Metaxas and H. Yang</t>
  </si>
  <si>
    <t>Contrastive learning-based vision-language pretraining approaches, such as CLIP, have demonstrated great success in many vision-language tasks. These methods achieve cross-modal alignment by encoding a matched image-text pair with similar feature embeddings, which are generated by aggregating information from visual patches and language tokens. However, direct aligning cross-modal information using such representations is challenging, as visual patches and text tokens differ in semantic levels and granularities. To alleviate this issue, we propose a Finite Discrete Tokens (FDT) based multimodal representation. FDT is a set of learnable tokens representing certain visualsemantic concepts. Both images and texts are embedded using shared FDT by first grounding multimodal inputs to FDT space and then aggregating the activated FDT representations. The matched visual and semantic concepts are enforced to be represented by the same set of discrete tokens by a sparse activation constraint. As a result, the granularity gap between the two modalities is reduced. Through both quantitative and qualitative analyses, we demonstrate that using FDT representations in CLIP-style models improves cross-modal alignment and performance in visual recognition and vision-language downstream tasks. Furthermore, we show that our method can learn more comprehensive representations, and the learned FDT capture meaningful cross-modal correspondence, ranging from objects to actions and attributes.11The source code can be found at https://github.com/yuxiaochen1103/FDT.</t>
  </si>
  <si>
    <t>10.1109/CVPR52729.2023.01449</t>
  </si>
  <si>
    <t>VatLM: Visual-Audio-Text Pre-Training With Unified Masked Prediction for Speech Representation Learning</t>
  </si>
  <si>
    <t>Q. Zhu and L. Zhou and Z. Zhang and S. Liu and B. Jiao and J. Zhang and L. Dai and D. Jiang and J. Li and F. Wei</t>
  </si>
  <si>
    <t>Although speech is a simple and effective way for humans to communicate with the outside world, a more realistic speech interaction contains multimodal information, e.g., vision, text. How to design a unified framework to integrate different modal information and leverage different resources (e.g., visual-audio pairs, audio-text pairs, unlabeled speech, and unlabeled text) to facilitate speech representation learning was not well explored. In this article, we propose a unified cross-modal representation learning framework VatLM (Visual-Audio-Text Language Model). The proposed VatLM employs a unified backbone network to model the modality-independent information and utilizes three simple modality-dependent modules to preprocess visual, speech, and text inputs. In order to integrate these three modalities into one shared semantic space, VatLM is optimized with a masked prediction task of unified tokens, given by our proposed unified tokenizer. We evaluate the pre-trained VatLM on audio-visual related downstream tasks, including audio-visual speech recognition (AVSR), and visual speech recognition (VSR) tasks. Results show that the proposed VatLM outperforms previous state-of-the-art models, such as the audio-visual pre-trained AV-HuBERT model, and analysis also demonstrates that VatLM is capable of aligning different modalities into the same space.</t>
  </si>
  <si>
    <t>10.1109/TMM.2023.3275873</t>
  </si>
  <si>
    <t>MPT-CLIP: Multi-modal Patch-level Prompt Alignment in CLIP for Zero-shot Semantic Segmentation</t>
  </si>
  <si>
    <t>2025 IEEE International Conference on Multimedia and Expo (ICME)</t>
  </si>
  <si>
    <t>B. Hao and F. Wu and Y. Lu and B. Zhang</t>
  </si>
  <si>
    <t>Recent advancements in zero-shot semantic segmentation have demonstrated that the large-scale Contrastive Language-Image Pre-training (CLIP) model can effectively transfer multimodal knowledge to pixel-level classification. However, existing single-stage solutions generate semantic masks by comparing the similarity between text and patch embeddings extracted from CLIP. These methods typically focus on single-mode and holistic-level semantic alignment, overlooking sample diversities and fine-grained information, which leads to suboptimal segmentation results, especially for complex samples. To address this issue, we propose MPT-CLIP, a multi-modal Patch-level prompt alignment method that leverages optimal transport to learn and align prompt token sets across modalities. Specifically, we apply multi-modal Patch-level prompt alignment to the zero-shot semantic segmentation, which facilitates diverse semantic representations and fine-grained similarity exploration. Inspired by the success of Sinkformers in attention mechanisms, we introduce Multi-Prompt Sinkhorn Attention (MPSA). Extensive experiments demonstrate that MPT-CLIP achieves superior performance on zero-shot semantic segmentation (ZS3) tasks across benchmark datasets.Our code will be available at https://github.com/hbl66/MPTclip.</t>
  </si>
  <si>
    <t>10.1109/ICME59968.2025.11210107</t>
  </si>
  <si>
    <t>Biomedical Signal Processing and Control</t>
  </si>
  <si>
    <t>Wang, Zhichuan and Deng, Qiao and So, Tiffany Y. and Chiu, Wan Hang and Hui, Edward S.</t>
  </si>
  <si>
    <t>https://doi.org/10.1016/j.bspc.2026.109908</t>
  </si>
  <si>
    <t>A multimodal data-based model for breast cancer diagnosis</t>
  </si>
  <si>
    <t>Computer Methods and Programs in Biomedicine</t>
  </si>
  <si>
    <t>Wang, Huina and Wei, Lan and Li, Jianqiang and Liu, Bo and Fang, Juan and Mooney, Catherine</t>
  </si>
  <si>
    <t>Background and Objective:     Developing multimodal data-driven diagnostic systems has become a key clinical strategy for improving breast cancer outcomes. However, effectively modeling multimodal features remains challenging due to substantial semantic heterogeneity, scale discrepancies, and the inherent difficulty of cross-modal alignment. Although existing studies have proposed various multimodal fusion methods, most rely on direct feature concatenation or shallow integration, which fail to capture fine-grained intra-modality semantics as well as the complex interactions between histopathological and genomic modalities.     Methods:     In this study, we propose a multimodal diagnostic framework based on Feature Enhancement and Semantic Collaborative Alignment (FESCA). The method incorporates a semantic-guided modality feature enhancement mechanism that effectively extracts and strengthens diagnostic cues from both pathological images and genomic data. In addition, a contrastive-learning-based cross-modal alignment strategy is introduced to map heterogeneous modalities into a unified semantic space and achieve deep semantic collaboration through contrastive optimization. To ensure robust breast cancer classification under varying modality availability, a multimodal collaborative diagnostic strategy is employed to dynamically adapt the feature representations.     Results:     We evaluate FESCA on the TCGA-BRCA dataset, and the experimental results demonstrate that it outperforms state-of-the-art methods in breast cancer classification while significantly improving both intra-modality representation quality and cross-modal semantic alignment.     Conclusion:     To enhance accessibility and practical application, we developed a web-based breast cancer pathological staging diagnosis system to visualize and deploy the FESCA model, demonstrating a step toward clinical application and providing a benchmark for other research methods.</t>
  </si>
  <si>
    <t>https://doi.org/10.1016/j.cmpb.2026.109288</t>
  </si>
  <si>
    <t>Audio-Text Multimodal Speech Recognition via Dual-Tower Architecture for Mandarin Air Traffic Control Communications</t>
  </si>
  <si>
    <t>Computers, Materials and Continua</t>
  </si>
  <si>
    <t>Ge, Shuting and Ren, Jin and Shi, Yihua and Zhang, Yujun and Yang, Shunzhi and Yang, Jinfeng</t>
  </si>
  <si>
    <t>In air traffic control communications (ATCC), misunderstandings between pilots and controllers could result in fatal aviation accidents. Fortunately, advanced automatic speech recognition technology has emerged as a promising means of preventing miscommunications and enhancing aviation safety. However, most existing speech recognition methods merely incorporate external language models on the decoder side, leading to insufficient semantic alignment between speech and text modalities during the encoding phase. Furthermore, it is challenging to model acoustic context dependencies over long distances due to the longer speech sequences than text, especially for the extended ATCC data. To address these issues, we propose a speech-text multimodal dual-tower architecture for speech recognition. It employs cross-modal interactions to achieve close semantic alignment during the encoding stage and strengthen its capabilities in modeling auditory long-distance context dependencies. In addition, a two-stage training strategy is elaborately devised to derive semantics-aware acoustic representations effectively. The first stage focuses on pre-training the speech-text multimodal encoding module to enhance inter-modal semantic alignment and aural long-distance context dependencies. The second stage fine-tunes the entire network to bridge the input modality variation gap between the training and inference phases and boost generalization performance. Extensive experiments demonstrate the effectiveness of the proposed speech-text multimodal speech recognition method on the ATCC and AISHELL-1 datasets. It reduces the character error rate to 6.54% and 8.73%, respectively, and exhibits substantial performance gains of 28.76% and 23.82% compared with the best baseline model. The case studies indicate that the obtained semantics-aware acoustic representations aid in accurately recognizing terms with similar pronunciations but distinctive semantics. The research provides a novel modeling paradigm for semantics-aware speech recognition in air traffic control communications, which could contribute to the advancement of intelligent and efficient aviation safety management.</t>
  </si>
  <si>
    <t>https://doi.org/10.32604/cmc.2023.046746</t>
  </si>
  <si>
    <t>Attention-based multimodal fusion with contrast for robust clinical prediction in the face of missing modalities</t>
  </si>
  <si>
    <t>Journal of Biomedical Informatics</t>
  </si>
  <si>
    <t>Liu, Jinghui and Capurro, Daniel and Nguyen, Anthony and Verspoor, Karin</t>
  </si>
  <si>
    <t>Objective:     With the increasing amount and growing variety of healthcare data, multimodal machine learning supporting integrated modeling of structured and unstructured data is an increasingly important tool for clinical machine learning tasks. However, it is non-trivial to manage the differences in dimensionality, volume, and temporal characteristics of data modalities in the context of a shared target task. Furthermore, patients can have substantial variations in the availability of data, while existing multimodal modeling methods typically assume data completeness and lack a mechanism to handle missing modalities.     Methods:     We propose a Transformer-based fusion model with modality-specific tokens that summarize the corresponding modalities to achieve effective cross-modal interaction accommodating missing modalities in the clinical context. The model is further refined by inter-modal, inter-sample contrastive learning to improve the representations for better predictive performance. We denote the model as Attention-based cRoss-MOdal fUsion with contRast (ARMOUR). We evaluate ARMOUR using two input modalities (structured measurements and unstructured text), six clinical prediction tasks, and two evaluation regimes, either including or excluding samples with missing modalities.     Results:     Our model shows improved performances over unimodal or multimodal baselines in both evaluation regimes, including or excluding patients with missing modalities in the input. The contrastive learning improves the representation power and is shown to be essential for better results. The simple setup of modality-specific tokens enables ARMOUR to handle patients with missing modalities and allows comparison with existing unimodal benchmark results.     Conclusion:     We propose a multimodal model for robust clinical prediction to achieve improved performance while accommodating patients with missing modalities. This work could inspire future research to study the effective incorporation of multiple, more complex modalities of clinical data into a single model.</t>
  </si>
  <si>
    <t>https://doi.org/10.1016/j.jbi.2023.104466</t>
  </si>
  <si>
    <t>Dual-Encoder Transformers for Image-Text Matching in Vision-Language Multimodal Applications</t>
  </si>
  <si>
    <t>Dual-Encoder Transformers have become a potent vision-language architectural framework that entails inserting images and texts into an overlapping semantic space. They facilitate useful multimodal dialogue, which is essential in applications like cross-modal retrieval, captioning and recommendation systems. Nevertheless, the current dual-encoder methods typically use global-level alignment and ignore fine-scale interactions between image segments and text segments. This restricts them in capturing subtle semantic links resulting in cross-modal representations that are mismatched or partial. In order to address these drawbacks, this paper suggests a new Hierarchical Cross-Modality Attention Distillation (HCAD) model. HCAD presents a multi-level distillation procedure joining both the local (object-word) and global (scene-sentence) features of the two encoders. Using hierarchical patterns of attention, the framework improves semantic correspondence and provides powerful fine-grained alignments in multimodal embedding spaces. The suggested approach can be successfully utilized to the field of multimodal medical report retrieval, where the accurate correspondence of medical images and diagnostic text is important to provide clinical decision support and share knowledge. Experimental findings indicate that HCAD is much more effective in retrieval accuracy, fine-grained matching and semantic robustness than the traditional dual-encoder models. The results indicate that it can be used to promote real-world vision-language multimodal tasks with more realistic and interpretable cross-modal alignment.</t>
  </si>
  <si>
    <t>https://doi.org/10.1016/j.procs.2026.01.010</t>
  </si>
  <si>
    <t>Multimodal transformers for joint diagnosis and retrieval from chest X-rays and radiology reports</t>
  </si>
  <si>
    <t>Informatics in Medicine Unlocked</t>
  </si>
  <si>
    <t>Jahanian, Mojtaba and Karimi, Abbas and Eraghi, Nafiseh Osati and Zarafshan, Faraneh</t>
  </si>
  <si>
    <t>https://doi.org/10.1016/j.imu.2025.101672</t>
  </si>
  <si>
    <t>Mixed land use measurement and mapping with street view images and spatial context-aware prompts via zero-shot multimodal learning</t>
  </si>
  <si>
    <t>International Journal of Applied Earth Observation and Geoinformation</t>
  </si>
  <si>
    <t>Wu, Meiliu and Huang, Qunying and Gao, Song and Zhang, Zhou</t>
  </si>
  <si>
    <t>Traditional overhead imagery techniques for urban land use detection and mapping often lack the precision needed for accurate, fine-grained analysis, particularly in complex environments with multi-functional, multi-story buildings. To bridge the gap, this study introduces a novel approach, utilizing ground-level street view images geo-located at the point level, to provide more concrete, subtle, and informative visual characteristics for urban mixed land use analysis, addressing the two major limitations of overhead imagery: coarse resolution and insufficient visual information. Given that spatial context-aware land-use descriptions are commonly employed to describe urban environments, this study treats mixed land use detection as a Natural Language for Visual Reasoning (NLVR) task, i.e., classifying land use(s) in images based on the similarity of their visual characteristics and local descriptive land use contexts, by integrating street view images (vision) with spatial context-aware land use descriptions (language) through vision-language multimodal learning. The results indicate that our multimodal approach significantly outperforms traditional vision-based methods and can accurately capture the multiple functionalities of the ground features. It benefits from the incorporation of spatial context-aware prompts, whereas the geographic scale of geo-locations matters. Additionally, our approach marks a significant advancement in mixed land use mapping, achieving point-level precision. It allows for the representation of diverse land use types at point locations, offering the flexibility of mapping at various spatial resolutions, including census tracts and zoning districts. This approach is particularly effective in areas with diverse urban functionalities, facilitating a more fine-grained and detailed perspective on mixed land uses in urban settings.</t>
  </si>
  <si>
    <t>https://doi.org/10.1016/j.jag.2023.103591</t>
  </si>
  <si>
    <t>SARD: Fake news detection based on CLIP contrastive learning and multimodal semantic alignment</t>
  </si>
  <si>
    <t>Journal of King Saud University - Computer and Information Sciences</t>
  </si>
  <si>
    <t>Yan, Facheng and Zhang, Mingshu and Wei, Bin and Ren, Kelan and Jiang, Wen</t>
  </si>
  <si>
    <t>The automatic detection of multimodal fake news can be used to effectively identify potential risks in cyberspace. Most of the existing multimodal fake news detection methods focus on fully exploiting textual and visual features in news content, thus neglecting the full utilization of news social context features that play an important role in improving fake news detection. To this end, we propose a new fake news detection method based on CLIP contrastive learning and multimodal semantic alignment (SARD). SARD leverages cutting-edge multimodal learning techniques, such as CLIP, and robust cross-modal contrastive learning methods to integrate features of news-oriented heterogeneous information networks (N-HIN) with multi-level textual and visual features into a unified framework for the first time. This framework not only achieves cross-modal alignment between deep textual and visual features but also considers cross-modal associations and semantic alignments across different modalities. Furthermore, SARD enhances fake news detection by aligning semantic features between news content and N-HIN features, an aspect largely overlooked by existing methods. We test and evaluate SARD on three real-world datasets. Experimental results demonstrate that SARD significantly outperforms the twelve state-of-the-art competitors in fake news detection, with an average improvement of 2.89% in Mac.F1 score and 2.13% in accuracy compared to the leading baseline models across three datasets.</t>
  </si>
  <si>
    <t>https://doi.org/10.1016/j.jksuci.2024.102160</t>
  </si>
  <si>
    <t>MKNNet: Knowledge-aligned multimodal transformer for information retrieval</t>
  </si>
  <si>
    <t>Alexandria Engineering Journal</t>
  </si>
  <si>
    <t>Lin, Xiaoqin and Han, Chentao and Yao, Jian and Li, Yue and Wang, Xujun and Jia, Shufeng</t>
  </si>
  <si>
    <t>With the rapid advancement of artificial intelligence and the Internet of Things, data collected from multiple sensing modalities is growing rapidly in both volume and complexity. In this paper, we propose a novel deep learning framework called MKNNet, which combines modality alignment, Transformer-based fusion, and multi-loss optimization to construct a unified semantic embedding space for multimodal information retrieval. Our model leverages modality-specific encoders and attention-based fusion to achieve deep semantic consistency across modalities. Experimental results on MS-COCO and Flickr30K datasets demonstrate that MKNNet significantly outperforms state-of-the-art models such as CLIP and BLIP in terms of Recall and mAP. The proposed method enhances semantic alignment and retrieval accuracy, showing great potential for applications in smart cities, healthcare, and other multimodal Internet of Things scenarios.</t>
  </si>
  <si>
    <t>https://doi.org/10.1016/j.aej.2025.06.055</t>
  </si>
  <si>
    <t>Solving Geometry Problems via Feature Learning and Contrastive Learning of Multimodal Data</t>
  </si>
  <si>
    <t>Jian, Pengpeng and Guo, Fucheng and Wang, Yanli and Li, Yang</t>
  </si>
  <si>
    <t>This paper presents an end-to-end deep learning method to solve geometry problems via feature learning and contrastive learning of multimodal data. A key challenge in solving geometry problems using deep learning is to automatically adapt to the task of understanding single-modal and multimodal problems. Existing methods either focus on single-modal or multimodal problems, and they cannot fit each other. A general geometry problem solver should obviously be able to process various modal problems at the same time. In this paper, a shared feature-learning model of multimodal data is adopted to learn the unified feature representation of text and image, which can solve the heterogeneity issue between multimodal geometry problems. A contrastive learning model of multimodal data enhances the semantic relevance between multimodal features and maps them into a unified semantic space, which can effectively adapt to both single-modal and multimodal downstream tasks. Based on the feature extraction and fusion of multimodal data, a proposed geometry problem solver uses relation extraction, theorem reasoning, and problem solving to present solutions in a readable way. Experimental results show the effectiveness of the method.</t>
  </si>
  <si>
    <t>https://doi.org/10.32604/cmes.2023.023243</t>
  </si>
  <si>
    <t>FMC: Multimodal fake news detection based on multi-granularity feature fusion and contrastive learning</t>
  </si>
  <si>
    <t>https://doi.org/10.1016/j.aej.2024.08.103</t>
  </si>
  <si>
    <t>Cross-Modal self-supervised vision language pre-training with multiple objectives for medical visual question answering</t>
  </si>
  <si>
    <t>Liu, Gang and He, Jinlong and Li, Pengfei and Zhao, Zixu and Zhong, Shenjun</t>
  </si>
  <si>
    <t>Medical Visual Question Answering (VQA) is a task that aims to provide answers to questions about medical images, which utilizes both visual and textual information in the reasoning process. The absence of large-scale annotated medical VQA datasets presents a formidable obstacle to training a medical VQA model from scratch in an end-to-end manner. Existing works have been using image captioning dataset in the pre-training stage and fine-tuning to downstream VQA tasks. Following the same paradigm, we use a collection of public medical image captioning datasets to pre-train multimodality models in a self-supervised setup, and fine-tune to downstream medical VQA tasks. In the work, we propose a method that featured with Cross-Modal pre-training with Multiple Objectives (CMMO), which includes masked image modeling, masked language modeling, image-text matching, and image-text contrastive learning. The proposed method is designed to associate the visual features of medical images with corresponding medical concepts in captions, for learning aligned vision and language feature representations, and multi-modal interactions. The experimental results reveal that our proposed CMMO method outperforms state-of-the-art methods on three public medical VQA datasets, showing absolute improvements of 2.6%, 0.9%, and 4.0% on the VQA-RAD, PathVQA, and SLAKE dataset, respectively. We also conduct comprehensive ablation studies to validate our method, and visualize the attention maps which show a strong interpretability. The code and pre-trained weights will be released at https://github.com/pengfeiliHEU/CMMO.</t>
  </si>
  <si>
    <t>https://doi.org/10.1016/j.jbi.2024.104748</t>
  </si>
  <si>
    <t>Emotion-aware cross-modal music generation based on multimodal emotion recognition</t>
  </si>
  <si>
    <t>Sun, Xueer and Han, Xiao and Yao, Fei and Xu, Jiawei</t>
  </si>
  <si>
    <t>https://doi.org/10.1016/j.aej.2025.11.020</t>
  </si>
  <si>
    <t>A deep reinforcement learning approach for emotion recognition from unaligned multimodal inputs</t>
  </si>
  <si>
    <t>Machine Learning with Applications</t>
  </si>
  <si>
    <t>El Hamdaoui, Jamal and Nfaoui, El Habib</t>
  </si>
  <si>
    <t>Multimodal emotion recognition is essential in affective computing, as it enables a more accurate and comprehensive understanding of human emotions by integrating diverse data modalities. However, current approaches still face key challenges, including the difficulty of handling unaligned multimodal inputs, limited ability to model long-term dependencies, and insufficient attention to relationships among emotional labels. To address these issues, this paper introduces a unified framework that combines a Pseudo-Alignment Algorithm (PAA) for processing unaligned data, a Multimodal Data Interaction Process (MDIP) for fusing text, audio, and video while preserving long-term contextual information, and a Deep Reinforcement Learning-based Emotion Detection (DRLED) model for exploring inter-emotional dependencies. Experiments conducted on the IEMOCAP benchmark dataset demonstrate that the proposed approach achieves strong emotion recognition performance without relying on pre-aligned multimodal data, highlighting its effectiveness and robustness in real-world scenarios.</t>
  </si>
  <si>
    <t>https://doi.org/10.1016/j.mlwa.2026.100873</t>
  </si>
  <si>
    <t>Unsupervised multimodal fusion of in-process sensor data for advanced manufacturing process monitoring</t>
  </si>
  <si>
    <t>Journal of Manufacturing Systems</t>
  </si>
  <si>
    <t>McKinney, Matthew and Garland, Anthony and Cillessen, Dale and Adamczyk, Jesse and Bolintineanu, Dan and Heiden, Michael and Fowler, Elliott and Boyce, Brad L.</t>
  </si>
  <si>
    <t>Effective monitoring of manufacturing processes is crucial for maintaining product quality and operational efficiency. Modern manufacturing environments often generate vast amounts of complementary multimodal data, including visual imagery from various perspectives and resolutions, hyperspectral data, and machine health monitoring information such as actuator positions, accelerometer readings, and temperature measurements. However, fusing and interpreting this complex, high-dimensional data presents significant challenges, particularly when labeled datasets are unavailable or impractical to obtain. This paper presents a novel approach to multimodal sensor data fusion in manufacturing processes, inspired by the Contrastive Language-Image Pre-training (CLIP) model. We leverage contrastive learning techniques to correlate different data modalities without the need for labeled data, overcoming limitations of traditional supervised machine learning methods in manufacturing contexts. Our proposed method demonstrates the ability to handle and learn encoders for five distinct modalities: visual imagery, audio signals, laser position (x and y coordinates), and laser power measurements. By compressing these high-dimensional datasets into low-dimensional representational spaces, our approach facilitates downstream tasks such as process control, anomaly detection, and quality assurance. The unsupervised nature of our method makes it broadly applicable across various manufacturing domains, where large volumes of unlabeled sensor data are common. We evaluate the effectiveness of our approach through a series of experiments, demonstrating its potential to enhance process monitoring capabilities in advanced manufacturing systems. This research contributes to the field of smart manufacturing by providing a flexible, scalable framework for multimodal data fusion that can adapt to diverse manufacturing environments and sensor configurations. The proposed method paves the way for more robust, data-driven decision-making in complex manufacturing processes.</t>
  </si>
  <si>
    <t>https://doi.org/10.1016/j.jmsy.2024.12.003</t>
  </si>
  <si>
    <t>Multimodal learning with next-token prediction for large multimodal models</t>
  </si>
  <si>
    <t>Nature</t>
  </si>
  <si>
    <t>Wang, Xinlong and Cui, Yufeng and Wang, Jinsheng and Zhang, Fan and Wang, Yueze and Zhang, Xiaosong and Luo, Zhengxiong and Sun, Quan and Li, Zhen and Wang, Yuqi and Yu, Qiying and Zhao, Yingli and Ao, Yulong and Min, Xuebin and Men, Chunlei and Wu, Boya and Zhao, Bo and Zhang, Bowen and Wang, Liangdong and Liu, Guang and He, Zheqi and Yang, Xi and Liu, Jingjing and Lin, Yonghua and Wang, Zhongyuan and Huang, Tiejun</t>
  </si>
  <si>
    <t>Developing a unified algorithm that can learn from and generate across modalities such as text, images and video has been a fundamental challenge in artificial intelligence. Although next-token prediction has driven major advances in large language models1, its extension to multimodal domains has remained limited, and diffusion models for image and video synthesis2,3 and compositional frameworks that integrate vision encoders with language models4 still dominate. Here we introduce Emu3, a family of multimodal models trained solely with next-token prediction. Emu3 equals the performance of well-established task-specific models across both perception and generation, matching flagship systems while removing the need for diffusion or compositional architectures. It further demonstrates coherent, high-fidelity video generation, interleaved visionâ€“language generation and visionâ€“languageâ€“action modelling for robotic manipulation. By reducing multimodal learning to unified token prediction, Emu3 establishes a robust foundation for large-scale multimodal modelling and offers a promising route towards unified multimodal intelligence.</t>
  </si>
  <si>
    <t>10.1038/s41586-025-10041-x</t>
  </si>
  <si>
    <t>Harmonizer: A Universal Signal Tokenization Framework for Multimodal Large Language Models</t>
  </si>
  <si>
    <t>Mathematics</t>
  </si>
  <si>
    <t>Amiri, Amin and Ghaffarnia, Alireza and Nia, Nafiseh Ghaffar and Wu, Dalei and Liang, Yu</t>
  </si>
  <si>
    <t>This paper introduces Harmonizer, a universal framework designed for tokenizing heterogeneous input signals, including text, audio, and video, to enable seamless integration into multimodal large language models (LLMs). Harmonizer employs a unified approach to convert diverse, non-linguistic signals into discrete tokens via its FusionQuantizer architecture, built on FluxFormer, to efficiently capture essential signal features while minimizing complexity. We enhance features through STFT-based spectral decomposition, Hilbert transform analytic signal extraction, and SCLAHE spectrogram contrast optimization, and train using a composite loss function to produce reliable embeddings and construct a robust vector vocabulary. Experimental validation on music datasets such as E-GMD v1.0.0, Maestro v3.0.0, and GTZAN demonstrates high fidelity across 288 s of vocal signals (MSE = 0.0037, CC = 0.9282, Cosine Sim. = 0.9278, DTW = 12.12, MFCC Sim. = 0.9997, Spectral Conv. = 0.2485). Preliminary tests on text reconstruction and UCF-101 video clips further confirm Harmonizerâ€™s applicability across discrete and spatiotemporal modalities. Rooted in the universality of wave phenomena and Fourier theory, Harmonizer offers a physics-inspired, modality-agnostic fusion mechanism via wave superposition and interference principles. In summary, Harmonizer integrates natural language processing and signal processing into a coherent tokenization paradigm for efficient, interpretable multimodal learning.</t>
  </si>
  <si>
    <t>10.3390/math13111819</t>
  </si>
  <si>
    <t>IEEE Transactions on Reliability</t>
  </si>
  <si>
    <t>Kou, Liang and Fan, Wenlong and Huang, Xingru and Lin, Bai and Yang, Bo and Zhang, Jilin and Lin, Yun and Wang, Meiyu</t>
  </si>
  <si>
    <t>This study tackles computational bottlenecks, training instability, and insufficient cross-modal semantic alignment in high-resolution multimodal image processing. We propose TriVLLo, an innovative multi-scale vision-language modeling framework. Our main contributions are: First, we introduce factorized 2D positional encoding and a dynamically configurable modular architecture. This approach decouples height and width position information. It improves spatial localization reliability for images with extreme aspect ratios. It also reduces computational parameters and alleviates training instability. Second, we design a unified multi-scale feature extraction and modality interaction mechanism. This uses adaptive image processing and multi-perspective feature pyramids. It enhances robustness to inputs of any resolution. It also achieves fine-grained alignment of vision-language features through a shared embedding space. Third, we build a high-quality dataset with 11K samples for fine-grained reasoning. This dataset supports improvements in visual ranking, semantic alignment, and narrative reasoning. Experiments show that TriVLLo achieves 87.4% of GPT-4V's performance on the MM-Vet benchmark. It demonstrates a 93.0 percentage-point improvement over Emu2 in spatial cognition tasks. It attains 89.2% accuracy on knowledge generation tasks. These results significantly outperform state-of-the-art methods.</t>
  </si>
  <si>
    <t>10.1109/TR.2026.3661996</t>
  </si>
  <si>
    <t>MMQ: Multimodal Mixture-of-Quantization Tokenization for Semantic ID Generation and User Behavioral Adaptation</t>
  </si>
  <si>
    <t>Xu, Yi and Zhang, Moyu and Li, Chenxuan and Liao, Zhihao and Xing, Haibo and Deng, Hao and Hu, Jinxin and Zhang, Yu and Zeng, Xiaoyi and Zhang, Jing</t>
  </si>
  <si>
    <t>Recommender systems traditionally represent items using unique identifiers (ItemIDs), but this approach struggles with large, dynamic item corpora and sparse long-tail data, limiting scalability and generalization. Semantic IDs, derived from multimodal content such as text and images, offer a promising alternative by mapping items into a shared semantic space, enabling knowledge transfer and improving recommendations for new or rare items. However, existing methods face two key challenges: (1) balancing cross-modal synergy with modality-specific uniqueness, and (2) bridging the semantic-behavioral gap, where semantic representations may misalign with actual user preferences. To address these challenges, we propose Multimodal Mixture-of-Quantization (MMQ), a two-stage framework that trains a novel multimodal tokenizer. First, a shared-specific tokenizer leverages a multi-expert architecture with modality-specific and modality-shared experts, using orthogonal regularization to capture comprehensive multimodal information. Second, behavior-aware fine-tuning dynamically adapts semantic IDs to downstream recommendation objectives while preserving modality information through a multimodal reconstruction loss. Extensive offline experiments and online A/B tests demonstrate that MMQ effectively unifies multimodal synergy, specificity, and behavioral adaptation, providing a scalable and versatile solution for both generative retrieval and discriminative ranking tasks.</t>
  </si>
  <si>
    <t>10.1145/3773966.3777923</t>
  </si>
  <si>
    <t>Multimodal Cognitive Mapping Framework for Context-Aware Figurative Language Understanding</t>
  </si>
  <si>
    <t>International Journal of Advanced Computer Science and Applications</t>
  </si>
  <si>
    <t>Gudipati, R. Swathi and Neena, P. C. and Ezhilmathi, K. and Durairaj, M. and Farhad, S. and Muniyandy, Elangovan and Padmashree, V.</t>
  </si>
  <si>
    <t>Science and Information Organization</t>
  </si>
  <si>
    <t>Learning figurative language, including idioms, metaphors, and similes, remains challenging due to subtle cultural, contextual, and multimodal cues that cannot be inferred from literal meanings alone. Traditional unimodal and text-only approaches, such as CLS-BERT, LaBSE, and mUSE, often fail to capture these deeper semantic patterns, resulting in reduced accuracy and limited cultural generalization. This study introduces a context-aware multimodal learning framework that integrates textual embeddings from a Graph-Enhanced Transformer (HCGT) with visual embeddings from CLIP, fused through a graph-based cross-modal attention mechanism, and refined using a cognitive mapping layer. This architecture models human-like semantic reasoning by aligning literal and figurative senses across modalities while maintaining conceptual structure through graph-driven representation learning. Experiments conducted on idiom, metaphor, simile, and multimodal meme datasets include preprocessing steps such as text cleaning, tokenization, image normalization, and label standardization. The framework achieves an accuracy of 90%, surpassing state-of-the-art text-only transformer baselines by 3â€“4%. Explainable AI tools, including attention heatmaps and SHAP values, validate the interpretability of the model by highlighting influential textual tokens and visual regions. The results confirm that integrating multimodal embeddings with cognitive mapping substantially enhances performance, interpretability, and cultural sensitivity in figurative language understanding.</t>
  </si>
  <si>
    <t>10.14569/IJACSA.2025.0161164</t>
  </si>
  <si>
    <t>Multimodal cross-domain contrastive learning: A self-supervised generative and geometric framework for visual perception</t>
  </si>
  <si>
    <t>Information Sciences</t>
  </si>
  <si>
    <t>Shah, S. Muhammad Ahmed Hassan and Rizwan, Atif and Sardaraz, Muhammad and Tahir, Muhammad and Samee, Nagwan Abdel and Jamjoom, Mona M.</t>
  </si>
  <si>
    <t>Self-Supervised Contrastive Representation Learning (SSCRL) has gained significant attention for its ability to learn meaningful representations from unlabeled data by leveraging contrastive learning principles. However, existing SSCRL approaches struggle with effectively handling heterogeneous data formats, particularly discrete and binary representations, limiting adaptability across multiple domains. This limitation hinders the generalization of learned representations, especially in applications requiring structured feature encoding and robust cross-domain adaptability. To address this, we propose the Modular QCB Learner, a novel algorithm designed to enhance representation learning for heterogeneous data types. This framework builds upon SSCRL by incorporating a Real Non-Volume Preserving transformation to optimize continuous representations, ensuring alignment with a Gaussian distribution. For discrete representation learning, vector quantization is utilized along with a Poisson distribution, while binary representations are modeled through nonlinear transformations and the Bernoulli distribution. Multi-Domain Mixture Optimization (MiDO) is introduced to facilitate joint optimization of different representation types by integrating multiple loss functions. To evaluate effectiveness, synthetic data generation is performed on extracted representations and compared with baselines. Experiments on CIFAR-10 confirm the Modular QCB Learner improves representation quality, demonstrating robustness across diverse data domains with applications in synthetic data generation, anomaly detection and multimodal learning.</t>
  </si>
  <si>
    <t>10.1016/j.ins.2025.122239</t>
  </si>
  <si>
    <t>GroundingFace: Fine-grained Face Understanding via Pixel Grounding Multimodal Large Language Model</t>
  </si>
  <si>
    <t>Han, Yue and Zhang, Jiangning and Zhu, Junwei and Hou, Runze and Ji, Xiaozhong and Lin, Chuming and Hu, Xiaobin and Xue, Zhucun and Liu, Yong</t>
  </si>
  <si>
    <t>Multimodal Language Learning Models (MLLMs) have shown remarkable performance in image understanding, generation, and editing, with recent advancements achieving pixel-level grounding with reasoning. However, these models for common objects struggle with fine-grained face understanding. In this work, we introduce the FacePlayGround-240K dataset, the first pioneering large-scale, pixel-grounded face caption and question-answer (QA) dataset that includes 240K images, 47 mask categories, 5.4M mask annotations, and 7.3M grounded regions, meticulously curated for alignment pretraining and instruction-tuning. We present the GroundingFace framework, specifically designed to enhance fine-grained face understanding. This framework significantly augments the capabilities of existing grounding models in face part segmentation, face attribute comprehension, while preserving general scene understanding. Comprehensive experiments validate that our approach surpasses current state-of-the-art models in pixel-grounded face captioning/QA and various downstream tasks, including face captioning, referring segmentation, and zero-shot face attribute recognition.</t>
  </si>
  <si>
    <t>10.1109/CVPR52734.2025.00373</t>
  </si>
  <si>
    <t>TokenFlow: Unified Image Tokenizer for Multimodal Understanding and Generation</t>
  </si>
  <si>
    <t>Qu, Liao and Zhang, Huichao and Liu, Yiheng and Wang, Xu and Jiang, Yi and Gao, Yiming and Ye, Hu and Du, Daniel K. and Yuan, Zehuan and Wu, Xinglong</t>
  </si>
  <si>
    <t>We present TokenFlow, a novel unified image tokenizer that bridges the long-standing gap between multimodal understanding and generation. Prior research attempt to employ a single reconstruction-targeted Vector Quantization (VQ) encoder for unifying these two tasks. We observe that understanding and generation require fundamentally different granularities of visual information. This leads to a critical trade-off, particularly compromising performance in multimodal understanding tasks. TokenFlow addresses this challenge through an innovative dual-codebook architecture that decouples semantic and pixel-level feature learning while maintaining their alignment via a shared mapping mechanism. This design enables direct access to both high-level semantic representations crucial for understanding tasks and fine-grained visual features essential for generation through shared indices. Our extensive experiments demonstrate TokenFlow's superiority across multiple dimensions. Leveraging TokenFlow, we demonstrate for the first time that discrete visual input can surpass LLaVA-1.5 13B in understanding performance, achieving a 7.2% average improvement. For image reconstruction, we achieve a strong FID score of 0.63 at 384Ã—384 resolution. Moreover, TokenFlow establishes state-of-the-art performance in autoregressive image generation with a GenEval score of 0.55 at 256Ã—256 resolution, achieving comparable results to SDXL. Our code and models are released at https://github.com/ByteFlow-Ai/TokenFlow.</t>
  </si>
  <si>
    <t>10.1109/CVPR52734.2025.00243</t>
  </si>
  <si>
    <t>MG-LLaVA: Towards Multi-Granularity Visual Instruction Tuning</t>
  </si>
  <si>
    <t>IEEE Transactions on Circuits and Systems for Video Technology</t>
  </si>
  <si>
    <t>Zhao, Xiangyu and Li, Xiangtai and Duan, Haodong and Huang, Haian and Li, Yining and Chen, Kai and Yang, Hua</t>
  </si>
  <si>
    <t>Multi-modal large language models (MLLMs) have made significant strides in various visual understanding tasks. However, the majority of these models are constrained to process low-resolution images, which limits their effectiveness in perception tasks that necessitate detailed visual information. In our study, we present MG-LLaVA, an innovative MLLM that enhances the modelâ€™s visual processing capabilities by incorporating a multi-granularity vision flow, which includes low-resolution, high-resolution, and object-centric features. We propose the integration of an additional high-resolution visual encoder to capture fine-grained details, which are then fused with base visual features through a Conv-Gate fusion network. To further refine the modelâ€™s object recognition abilities, we incorporate object-level features derived from bounding boxes identified by offline detectors. Being trained solely on publicly available multimodal data through instruction tuning, MG-LLaVA demonstrates exceptional perception skills. We instantiate MG-LLaVA with a wide variety of language encoders, ranging from 3.8B to 34B, to evaluate the modelâ€™s performance comprehensively. Extensive evaluations across multiple benchmarks demonstrate that MG-LLaVA outperforms existing MLLMs of comparable parameter sizes, showcasing its remarkable efficacy.</t>
  </si>
  <si>
    <t>10.1109/TCSVT.2025.3643469</t>
  </si>
  <si>
    <t>Uni-MoE: Scaling Unified Multimodal LLMs With Mixture of Experts</t>
  </si>
  <si>
    <t>IEEE Transactions on Pattern Analysis and Machine Intelligence</t>
  </si>
  <si>
    <t>Li, Yunxin and Jiang, Shenyuan and Hu, Baotian and Wang, Longyue and Zhong, Wanqi and Luo, Wenhan and Ma, Lin and Zhang, Min</t>
  </si>
  <si>
    <t>Recent advancements in Multimodal Large Language Models (MLLMs) underscore the significance of scalable models and data to boost performance, yet this often incurs substantial computational costs. Although the Mixture of Experts (MoE) architecture has been employed to scale large language or visual-language models efficiently, these efforts typically involve fewer experts and limited modalities. To address this, our work presents the pioneering attempt to develop a unified MLLM with the MoE architecture, named Uni-MoE that can handle a wide array of modalities. Specifically, it features modality-specific encoders with connectors for a unified multimodal representation. We also implement a sparse MoE architecture within the LLMs to enable efficient training and inference through modality-level data parallelism and expert-level model parallelism. To enhance the multi-expert collaboration and generalization, we present a progressive training strategy: 1) Cross-modality alignment using various connectors with different cross-modality data, 2) Training modality-specific experts with cross-modality instruction data to activate expertsâ€™ preferences, and 3) Tuning the whole Uni-MoE framework utilizing Low-Rank Adaptation (LoRA) on mixed multimodal instruction data. We evaluate the instruction-tuned Uni-MoE on a comprehensive set of multimodal datasets. The extensive experimental results demonstrate Uni-MoE's principal advantage of significantly reducing performance bias in handling mixed multimodal datasets, alongside improved multi-expert collaboration and generalization.</t>
  </si>
  <si>
    <t>10.1109/TPAMI.2025.3532688</t>
  </si>
  <si>
    <t>LLaVA-ST: A Multimodal Large Language Model for Fine-Grained Spatial-Temporal Understanding</t>
  </si>
  <si>
    <t>Li, Hongyu and Chen, Jinyu and Wei, Ziyu and Huang, Shaofei and Hui, Tianrui and Gao, Jialin and Wei, Xiaoming and Liu, Si</t>
  </si>
  <si>
    <t>Recent advancements in multimodal large language models (MLLMs) have shown promising results, yet existing approaches struggle to effectively handle both temporal and spatial localization simultaneously. This challenge stems from two key issues: first, incorporating spatial-temporal localization introduces a vast number of coordinate combinations, complicating the alignment of linguistic and visual coordinate representations; second, encoding fine-grained temporal and spatial information during video feature compression is inherently difficult. To address these issues, we propose LLaVA-ST, a MLLM for fine-grained spatial-temporal multimodal understanding. In LLaVA-ST, we propose Language-Aligned Positional Embedding, which embeds the textual coordinate special token into the visual space, simplifying the alignment of fine-grained spatial-temporal correspondences. Additionally, we design the Spatial-Temporal Packer, which decouples the feature compression of temporal and spatial resolutions into two distinct point-to-region attention processing streams. Furthermore, we propose ST-Align dataset with 4.3M training samples for fine-grained spatial-temporal multimodal understanding. With ST-align, we present a progressive training pipeline that aligns the visual and textual feature through sequential coarse-to-fine stages. Additionally, we introduce an ST-Align benchmark to evaluate spatial-temporal interleaved fine-grained understanding tasks, which include Spatial-Temporal Video Grounding (STVG) , Event Localization and Captioning (ELC) and Spatial Video Grounding (SVG). LLaVA-ST achieves outstanding performance on 11 benchmarks requiring fine-grained temporal, spatial, or spatial-temporal interleaving multimodal understanding. Our code, data and benchmark will be released at https://github.com/appletea233/LLaVA-ST.</t>
  </si>
  <si>
    <t>10.1109/CVPR52734.2025.00803</t>
  </si>
  <si>
    <t>AnyGPT: Unified Multimodal LLM with Discrete Sequence Modeling</t>
  </si>
  <si>
    <t>Zhan, Jun and Dai, Junqi and Ye, Jiasheng and Zhou, Yunhua and Zhang, Dong and Liu, Zhigeng and Zhang, Xin and Yuan, Ruibin and Zhang, Ge and Li, Linyang and Yan, Hang and Fu, Jie and Gui, Tao and Sun, Tianxiang and Jiang, Yu Gang and Qiu, Xipeng</t>
  </si>
  <si>
    <t>We introduce AnyGPT, an any-to-any multimodal language model that utilizes discrete representations for the unified processing of various modalities, including speech, text, images, and music. AnyGPT can be trained stably without any alterations to the current large language model (LLM) architecture or training paradigms. Instead, it relies exclusively on data-level preprocessing, facilitating the seamless integration of new modalities into LLMs, akin to the incorporation of new languages. We build a multimodal text-centric dataset for multimodal alignment pre-training. Utilizing generative models, we synthesize the first large-scale any-to-any multimodal instruction dataset. It consists of 108k samples of multi-turn conversations that intricately interweave various modalities, thus equipping the model to handle arbitrary combinations of multimodal inputs and outputs. Experimental results demonstrate that AnyGPT is capable of facilitating any-to-any multimodal conversation while achieving performance comparable to specialized models across all modalities, proving that discrete representations can effectively and conveniently unify multiple modalities within a language model. Demos are shown in https://junzhan2000.github.io/AnyGPT.github.io/.</t>
  </si>
  <si>
    <t>10.18653/v1/2024.acl-long.521</t>
  </si>
  <si>
    <t>Mirasol3B: A Multimodal Autoregressive Model for Time-Aligned and Contextual Modalities</t>
  </si>
  <si>
    <t>Piergiovanni, A. J. and Noble, Isaac and Kim, Dahun and Ryoo, Michael S. and Gomes, Victor and Angelova, Anelia</t>
  </si>
  <si>
    <t>One of the main challenges of multimodal learning is combining multiple heterogeneous modalities, e.g., video, audio, and text. Video and audio are obtained at much higher rates than text and are roughly aligned in time. They are often not synchronized with text, which comes as a global context, e.g. a title, or a description. Furthermore, video and audio inputs are of much larger volumes, and grow as the video length increases, which naturally requires more compute dedicated to these modalities, and makes modeling of long-range dependencies harder. We here decouple the multimodal modeling, dividing it into separate autoregressive models, processing the inputs according to the characteristics of the modalities. We propose a multimodal model, consisting of an autoregressive component for the time-synchronized modalities (audio and video), and an autoregressive component for the context modalities which are not necessarily aligned in time but are still sequential. To address the long-sequences of the video-audio inputs, we further partition the video and audio sequences in consecutive snippets and autoregressively process their representations. To that end, we propose a Combiner mechanism, which models the audio-video information jointly, producing compact but expressive representations. This allows us to scale to 512 input video frames without increase in model parameters. Our approach achieves the state-of-the-art on multiple well established multimodal benchmarks. It effectively addresses the high computational demand of media inputs by learning compact representations, controlling the sequence length of the audio-video feature representations, and modeling their dependencies in time.</t>
  </si>
  <si>
    <t>10.1109/CVPR52733.2024.02531</t>
  </si>
  <si>
    <t>MILES: Visual BERT Pre-training with Injected Language Semantics for Video-Text Retrieval</t>
  </si>
  <si>
    <t>Ge, Yuying and Ge, Yixiao and Liu, Xihui and Wang, Jinpeng and Wu, Jianping and Shan, Ying and Qie, Xiaohu and Luo, Ping</t>
  </si>
  <si>
    <t>10.1007/978-3-031-19833-5_40</t>
  </si>
  <si>
    <t>MLeVLM: Improve Multi-level Progressive Capabilities based on Multimodal Large Language Model for Medical Visual Question Answering</t>
  </si>
  <si>
    <t>Xu, Dexuan and Chen, Yanyuan and Wang, Jieyi and Huang, Yue and Wang, Hanpin and Jin, Zhi and Wang, Hongxing and Yue, Weihua and He, Jing and Li, Hang and Huang, Yu</t>
  </si>
  <si>
    <t>Medical visual question answering (MVQA) requires in-depth understanding of medical images and questions to provide reliable answers. We summarize multi-level progressive capabilities that models need to focus on in MVQA: recognition, details, diagnosis, knowledge, and reasoning. Existing MVQA models tend to ignore the above capabilities due to unspecific data and plain architecture. To address these issues, this paper proposes Multi-level Visual Language Model (MLeVLM) for MVQA. On the data side, we construct a high-quality multi-level instruction dataset MLe-VQA via GPT-4, which covers multi-level questions and answers as well as reasoning processes from visual clues to semantic cognition. On the architecture side, we propose a multi-level feature alignment module, including attention-based token selector and context merger, which can efficiently align features at different levels from visual to semantic. To better evaluate the model's capabilities, we manually construct a multi-level MVQA evaluation benchmark named MLe-Bench. Extensive experiments demonstrate the effectiveness of our constructed multi-level instruction dataset and the multi-level feature alignment module. It also proves that MLeVLM outperforms existing medical multimodal large language models.</t>
  </si>
  <si>
    <t>10.18653/v1/2024.findings-acl.296</t>
  </si>
  <si>
    <t>Emotion-LLaMA: Multimodal Emotion Recognition and Reasoning with Instruction Tuning</t>
  </si>
  <si>
    <t>Cheng, Zebang and Cheng, Zhi Qi and He, Jun Yan and Sun, Jingdong and Wang, Kai and Lin, Yuxiang and Lian, Zheng and Peng, Xiaojiang and Hauptmann, Alexander G.</t>
  </si>
  <si>
    <t>Accurate emotion perception is crucial for various applications, including human-computer interaction, education, and counseling. However, traditional single-modality approaches often fail to capture the complexity of real-world emotional expressions, which are inherently multimodal. Moreover, existing Multimodal Large Language Models (MLLMs) face challenges in integrating audio and recognizing subtle facial micro-expressions. To address this, we introduce the MERR dataset, containing 28,618 coarse-grained and 4,487 fine-grained annotated samples across diverse emotional categories. This dataset enables models to learn from varied scenarios and generalize to real-world applications. Furthermore, we propose Emotion-LLaMA, a model that seamlessly integrates audio, visual, and textual inputs through emotion-specific encoders. By aligning features into a shared space and employing a modified LLaMA model with instruction tuning, Emotion-LLaMA significantly enhances both emotional recognition and reasoning capabilities. Extensive evaluations show Emotion-LLaMA outperforms other MLLMs, achieving top scores in Clue Overlap (7.83) and Label Overlap (6.25) on EMER, an F1 score of 0.9036 on MER2023-SEMI challenge, and the highest UAR (45.59) and WAR (59.37) in zero-shot evaluations on DFEW dataset.</t>
  </si>
  <si>
    <t>10.52202/079017-3518</t>
  </si>
  <si>
    <t>A multimodal fusion model for real-time environment emotion recognition using audio-visual-textual features</t>
  </si>
  <si>
    <t>Journal of Big Data</t>
  </si>
  <si>
    <t>Gupta, Chhaya and Gill, Nasib Singh and Gulia, Preeti and Kumar, Abhinav and Karamti, Hanen and Moges, Demmelash Mollalign and Safra, Imen</t>
  </si>
  <si>
    <t>Springer Nature</t>
  </si>
  <si>
    <t>Multimodal combines multiple modalities to create insightful conclusions or to make more precise predictions. Nowadays, the multimodal concept is used to identify human emotions precisely. This study proposes a three-stage novel M-fusHER (Multimodal fusion Human Emotion Recognition) multimodal model for human emotion recognition in real-time with the help of text, audio, and videos. In the first stage, features are extracted with the help of a convolutional neural network merged with multiplicative LSTM. In the second stage, video and audio data, text, and audio are fused in binary form. In the third stage, real-time object detection for human emotion recognition on real videos is implemented. The experimental results are obtained by fusing audio, text, and videos by considering the standard features. For object detection, a fine-tuned YOLOv6 model was used for detecting facial features and expressions from the video. The multiplicative LSTM is also used to extract and learn from the text features. Three datasets, i.e., IEMOCAP, MOSEI, and MELD are used for implementation, and the detection accuracy of the proposed model M-fusHER on IEMOCAP, MOSEI, and MELD datasets is 95.45%, 88.76%, and 95.41% approximately, which is quite encouraging.</t>
  </si>
  <si>
    <t>10.1186/S40537-025-01300-9</t>
  </si>
  <si>
    <t>Title</t>
  </si>
  <si>
    <t>Year</t>
  </si>
  <si>
    <t>Journal</t>
  </si>
  <si>
    <t>Authors</t>
  </si>
  <si>
    <t>Publisher</t>
  </si>
  <si>
    <t>Abstract</t>
  </si>
  <si>
    <t>Keywords</t>
  </si>
  <si>
    <t>Citation Count</t>
  </si>
  <si>
    <t>No. of Modalities</t>
  </si>
  <si>
    <t>No. of Authors</t>
  </si>
  <si>
    <t>Pub. Source</t>
  </si>
  <si>
    <t>ACM</t>
  </si>
  <si>
    <t>Proceedings of the 33rd ACM International Conference on Multimedia</t>
  </si>
  <si>
    <t>Proceedings of the 7th ACM International Conference on Multimedia in Asia</t>
  </si>
  <si>
    <t>Proceedings of 2024 International Symposium on Integrated Circuit Design and Integrated Systems</t>
  </si>
  <si>
    <t>Proceedings of the 2025 Annual International ACM SIGIR Conference on Research and Development in Information Retrieval in the Asia Pacific Region</t>
  </si>
  <si>
    <t>Proceedings of the 2025 International Conference on Multimedia Retrieval</t>
  </si>
  <si>
    <t>Proceedings of the 16th ACM International Conference on Bioinformatics, Computational Biology, and Health Informatics</t>
  </si>
  <si>
    <t>Proceedings of the 2024 International Conference on Machine Intelligence and Digital Applications</t>
  </si>
  <si>
    <t>Proceedings of the 31st ACM International Conference on Multimedia</t>
  </si>
  <si>
    <t>Proceedings of the 34th ACM International Conference on Information and Knowledge Management</t>
  </si>
  <si>
    <t>Adjunct Proceedings of the 25th ACM International Conference on Intelligent Virtual Agents</t>
  </si>
  <si>
    <t>IEEE</t>
  </si>
  <si>
    <t>Proceedings of the 2024 10th International Conference on Robotics and Artificial Intelligence</t>
  </si>
  <si>
    <t>ID</t>
  </si>
  <si>
    <t>p1</t>
  </si>
  <si>
    <t>p2</t>
  </si>
  <si>
    <t>p8</t>
  </si>
  <si>
    <t>p9</t>
  </si>
  <si>
    <t>p3</t>
  </si>
  <si>
    <t>p6</t>
  </si>
  <si>
    <t>p5</t>
  </si>
  <si>
    <t>p4</t>
  </si>
  <si>
    <t>p7</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</si>
  <si>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</si>
  <si>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</si>
  <si>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</si>
  <si>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</si>
  <si>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</si>
  <si>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</si>
  <si>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</si>
  <si>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</si>
  <si>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</si>
  <si>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</si>
  <si>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</si>
  <si>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</si>
  <si>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</si>
  <si>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</si>
  <si>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</si>
  <si>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</si>
  <si>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</si>
  <si>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</si>
  <si>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</si>
  <si>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</si>
  <si>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</si>
  <si>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</si>
  <si>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</si>
  <si>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</si>
  <si>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</si>
  <si>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</si>
  <si>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</si>
  <si>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</si>
  <si>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</si>
  <si>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</si>
  <si>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</si>
  <si>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</si>
  <si>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</si>
  <si>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</si>
  <si>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</si>
  <si>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</si>
  <si>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</si>
  <si>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</si>
  <si>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</si>
  <si>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</si>
  <si>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</si>
  <si>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</si>
  <si>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</si>
  <si>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</si>
  <si>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</si>
  <si>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</si>
  <si>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</si>
  <si>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</si>
  <si>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Proceedings of the 29th ACM International Conference on Multimedia</t>
  </si>
  <si>
    <t>Elsevier</t>
  </si>
  <si>
    <t>Healthcare</t>
  </si>
  <si>
    <t>The Chinese University of Hong Kong</t>
  </si>
  <si>
    <t>China</t>
  </si>
  <si>
    <t>Chest X-ray; Follow-up medical visual question answering; Multimodal representation learning</t>
  </si>
  <si>
    <t>Diagnostic systems; Contrastive learning; Cross-modal learning; Multimodal classification</t>
  </si>
  <si>
    <t>Beijing University of Technology, Beijing</t>
  </si>
  <si>
    <t>University of Science and Technology Liaoning, Anshan</t>
  </si>
  <si>
    <t>Speech-text multimodal; automatic speech recognition; semantic alignment; air traffic control communications; dual-tower architecture</t>
  </si>
  <si>
    <t>Tech Science Press</t>
  </si>
  <si>
    <t>Australian e-Health Research Centre, CSIRO, Queensland</t>
  </si>
  <si>
    <t>Australia</t>
  </si>
  <si>
    <t>Moti Ranjan Tandi, Anjali Krushna Kadao</t>
  </si>
  <si>
    <t>Kalinga University, Naya Raipur, Chhattisgarh</t>
  </si>
  <si>
    <t>India</t>
  </si>
  <si>
    <t>Procedia Computer Science</t>
  </si>
  <si>
    <t>Islamic Azad University, Arak</t>
  </si>
  <si>
    <t>Iran</t>
  </si>
  <si>
    <t>USA</t>
  </si>
  <si>
    <t>University of Wisconsin-Madison</t>
  </si>
  <si>
    <t>Engineering University of PAP</t>
  </si>
  <si>
    <t>Fake news detection; Contrastive learning; Social networks; Multimodal learning; Deep learning</t>
  </si>
  <si>
    <t>IoT data processing; Modality alignment; Semantic analysis of big data; Cross-modal information retrieval; Feature fusion</t>
  </si>
  <si>
    <t>Chengdu University, Chengdu</t>
  </si>
  <si>
    <t>Computer Modeling in Engineering &amp; Sciences</t>
  </si>
  <si>
    <t>North China University of Water Resources and Electric Power</t>
  </si>
  <si>
    <t>Harbin Engineering University, Harbin</t>
  </si>
  <si>
    <t>Nanjing Normal University</t>
  </si>
  <si>
    <t>Sidi Mohamed Ben Abdellah University</t>
  </si>
  <si>
    <t>Morocco</t>
  </si>
  <si>
    <t>Sandia National Laboratories</t>
  </si>
  <si>
    <t>MDPI</t>
  </si>
  <si>
    <t>University of Tennessee at Chattanooga (UTC)</t>
  </si>
  <si>
    <t>Hangzhou Dianzi University,</t>
  </si>
  <si>
    <t>Beijing Academy of Artificial Intelligence (BAAI)</t>
  </si>
  <si>
    <t>Alibaba International Digital Commerce Group</t>
  </si>
  <si>
    <t>Proceedings of the Nineteenth ACM International Conference on Web Search and Data Mining</t>
  </si>
  <si>
    <t>Koneru Lakshmaiah Education Foundation, Vaddeswaram</t>
  </si>
  <si>
    <t>Central South University, Changsha</t>
  </si>
  <si>
    <t>Zhejiang University</t>
  </si>
  <si>
    <t>2025 IEEE/CVF Conference on Computer Vision and Pattern Recognition (CVPR)</t>
  </si>
  <si>
    <t>ByteDance</t>
  </si>
  <si>
    <t>Shanghai Jiao Tong University</t>
  </si>
  <si>
    <t>Harbin Institute of Technology, Shenzhen</t>
  </si>
  <si>
    <t>Beihang University</t>
  </si>
  <si>
    <t>Proceedings of the 62nd Annual Meeting of the Association for Computational Linguistics</t>
  </si>
  <si>
    <t>ACL</t>
  </si>
  <si>
    <t>Fudan University</t>
  </si>
  <si>
    <t>2024 IEEE/CVF Conference on Computer Vision and Pattern Recognition (CVPR)</t>
  </si>
  <si>
    <t>Google DeepMind</t>
  </si>
  <si>
    <t>United Kingdom</t>
  </si>
  <si>
    <t>European conference on computer vision</t>
  </si>
  <si>
    <t>The University of Hong Kong</t>
  </si>
  <si>
    <t>Findings of the Association for Computational Linguistics</t>
  </si>
  <si>
    <t>Peking University</t>
  </si>
  <si>
    <t>NeurIPS</t>
  </si>
  <si>
    <t>Advances in Neural Information Processing Systems 37</t>
  </si>
  <si>
    <t>Maharshi Dayanand University, Rohtak</t>
  </si>
  <si>
    <t>Shenzhen Technology University</t>
  </si>
  <si>
    <t>Modality combination</t>
  </si>
  <si>
    <t>Beijing University of Technology Beijing</t>
  </si>
  <si>
    <t>UAE</t>
  </si>
  <si>
    <t>MBZUAI, Abu Dhabi</t>
  </si>
  <si>
    <t>Key Laboratory of Multimedia Trusted Perception and Efficient Computing, MOE of China</t>
  </si>
  <si>
    <t>Sun Yat-sen University</t>
  </si>
  <si>
    <t>Institution</t>
  </si>
  <si>
    <t>Nanjing University of Science and Technology</t>
  </si>
  <si>
    <t>College of Computer and Information, Hohai University</t>
  </si>
  <si>
    <t>VietNam</t>
  </si>
  <si>
    <t>Hiroshima University</t>
  </si>
  <si>
    <t>Japan</t>
  </si>
  <si>
    <t>RareGen Youth Network 501c3, Oakton</t>
  </si>
  <si>
    <t>Jiangsu Special Equipment Safety Supervision and Inspection, Wuxi</t>
  </si>
  <si>
    <t>SenseTime Group Limited, Beijing</t>
  </si>
  <si>
    <t>Sun Yat-Sen University</t>
  </si>
  <si>
    <t>Northeastern University, Shenyang</t>
  </si>
  <si>
    <t>University of Surrey, Guildford</t>
  </si>
  <si>
    <t>University of Chinese Academy of Sciences</t>
  </si>
  <si>
    <t>PES University, Bangalor</t>
  </si>
  <si>
    <t>Dongbei University of Finance and Economics</t>
  </si>
  <si>
    <t>University of Birmingham</t>
  </si>
  <si>
    <t>Fudan University, Shanghai</t>
  </si>
  <si>
    <t>Multimodal generative model; unified framework; shape generation</t>
  </si>
  <si>
    <t>Rutgers University, New Jersey</t>
  </si>
  <si>
    <t>University of Science and Technology of China</t>
  </si>
  <si>
    <t>Speech representation learning; unified masked prediction; visual-audio-text pre-training</t>
  </si>
  <si>
    <t>Zhejiang Sci-Tech University</t>
  </si>
  <si>
    <t>Zero-shot Semantic Segmentation; CLIP; Multi-modal Prompt Alignment; Optimal Transport</t>
  </si>
  <si>
    <t>Geometry problems; multimodal feature learning; multimodal contrastive learning; automatic solver</t>
  </si>
  <si>
    <t>Multimodal modeling; Clinical prediction; Missing modality; Natural language processing; Machine learning</t>
  </si>
  <si>
    <t>Object-word; Dual-Encoder Transformers; Multimodal; Scene-sentence</t>
  </si>
  <si>
    <t>Multimodal learning; Transformers; Radiology reports; Medical imaging; Deep learning; Clinical NLP</t>
  </si>
  <si>
    <t>Mixed land use mapping; Vision-language multimodal learning; Street view images; Zero-shot learning; Prompt engineering</t>
  </si>
  <si>
    <t>Fake news detection; Multimodal learning; Natural language processing; Contrastive learning; Machine learning</t>
  </si>
  <si>
    <t>Cross-modal self-supervised; Medical VQA; Medical vision-language pre-training; Contrastive learning</t>
  </si>
  <si>
    <t>Cross-modal; Music generation; Multimodal emotion recognition</t>
  </si>
  <si>
    <t>Emotion recognition; Multi-modal data fusion; Unaligned data; Trimodal affective analysis; Deep reinforcement learning</t>
  </si>
  <si>
    <t>Unsupervised Learning; Multimodal Data Fusion; Manufacturing Process Monitoring; Contrastive Learning; Smart Manufacturing</t>
  </si>
  <si>
    <t>Tokenization; Multimodal LLM; STFT; Hilbert transform; SCLAHE</t>
  </si>
  <si>
    <t>Factorized positional encoding; multiscale processing framework; multiview fusion; multimodal fine-grained parsing; vision–language decoupling</t>
  </si>
  <si>
    <t>Recommendation System; Semantic ID; Vector Quantization; Item Alignment</t>
  </si>
  <si>
    <t>Bi-LSTM; cognitive mapping; cross-lingual understanding; idiom acquisition; multimodal learning</t>
  </si>
  <si>
    <t>Self-supervised learning; Contrastive learning; Optimization; Normalizing flow; Modular QCB-learner; Computer vision</t>
  </si>
  <si>
    <t>Face understanding; Pixel grounding; Multimodal Large Language Model</t>
  </si>
  <si>
    <t>Multimodal Understanding and Generation; Unified Image Tokenizer; TokenFlow</t>
  </si>
  <si>
    <t>Multi-modality; Large Language Model; Visual Understanding</t>
  </si>
  <si>
    <t>Mixture of experts; multimodal large language model; unified framework; training strategy; benchmark</t>
  </si>
  <si>
    <t>Multimodal Large Language Model; Fine-Grained multimodal understanding; Spatial-Temporal Video Grounding; Event Localization and Captioning</t>
  </si>
  <si>
    <t>Unified Multimodal LLM; Discrete Sequence Modeling</t>
  </si>
  <si>
    <t>Multimodal Autoregressive Model; Time-Aligned; Contextual Modalities</t>
  </si>
  <si>
    <t>Masked visual modeling; Video-text retrieval</t>
  </si>
  <si>
    <t>Multi-level Progressive Capabilities; Multimodal Large Language Model; Medical Visual Question Answering</t>
  </si>
  <si>
    <t>Audio processing; Convolutional neural network (CNN); Multimodal modeling; Multiplicative LSTM; Text processing; Video processing</t>
  </si>
  <si>
    <t>Multimodal learning; next-token prediction; large multimodal models</t>
  </si>
  <si>
    <t>Knowledge-based Visual Question Answering; Large-Small Model Synergy; Multimodal Fine-Grained Heuristics</t>
  </si>
  <si>
    <t>Large Language Models; Retrieval Augmented Generation; Medical Reasoning; Visual Question Answering</t>
  </si>
  <si>
    <t>Efficient Inference; MLLMs; Graph Summarization</t>
  </si>
  <si>
    <t>Cross-modal generation; Image captioning; Text-to-image synthesis</t>
  </si>
  <si>
    <t>Generation</t>
  </si>
  <si>
    <t>Retrieval</t>
  </si>
  <si>
    <t>Translation</t>
  </si>
  <si>
    <t>Forecasting</t>
  </si>
  <si>
    <t>Unified vision-language tracking; multi-modal alignment</t>
  </si>
  <si>
    <t>Tracking</t>
  </si>
  <si>
    <t>Classification</t>
  </si>
  <si>
    <t>Multimodality; Retrieval Augmented Generation (RAG); Vision Question Answering (VQA)</t>
  </si>
  <si>
    <t>Multimodal Language Models; Internet of Things (IoT); Visual Language Models; Feature Alignment; Transformer Architectures; Fine-Tuning Strategies</t>
  </si>
  <si>
    <t>Bundle construction; Category-wise; Cross-attention; Multimodal recommendation</t>
  </si>
  <si>
    <t>Machine Learning for Music; Multimodal Learning</t>
  </si>
  <si>
    <t>Multimodal learning; self-supervised learning; rare diseases; genomics; medical imaging; wearable sensors; contrastive learning; ontology alignment</t>
  </si>
  <si>
    <t>Multimodal Language Models; Remote Sensing Image Recognition; ContrastiveLanguage-ImagePre-training Model; Object-to-Passage Transformer Model</t>
  </si>
  <si>
    <t>Multimodal sentiment analysis; Multimodal fusion; Multimodal representation learning; Contrastive learning; Attention mechanism</t>
  </si>
  <si>
    <t>Multimodal representation learning; cross-modal fusion; text-and-image; person re-identification</t>
  </si>
  <si>
    <t>Video-Text Retrieval; Object Detection; Cross-Modal Alignment; Aggregation</t>
  </si>
  <si>
    <t>Sign Language Translation; Gloss-free SLT; Contrastive Learning; Multimodal Pretraining</t>
  </si>
  <si>
    <t>Text image machine translation; contrastive learning; text image recognition; machine translation</t>
  </si>
  <si>
    <t>Sentiment Analysis</t>
  </si>
  <si>
    <t>Multimodal Learning; Language Model; Knowledge Graph; Visual Prompt</t>
  </si>
  <si>
    <t>Time Series Forecasting; Multimodal Learning; Prompt Learning; Large Language Model</t>
  </si>
  <si>
    <t>Prompt Tuning; Multimodal Learning; Zero-shot Classification</t>
  </si>
  <si>
    <t>Prediction</t>
  </si>
  <si>
    <t>Multimodal Representation; Contrastive Learning; Patch and Token Embeddings; Finite Discrete Tokens</t>
  </si>
  <si>
    <t>Segmentation</t>
  </si>
  <si>
    <t>Diagnosis</t>
  </si>
  <si>
    <t>Paper ID</t>
  </si>
  <si>
    <t>Task adopted in the paper</t>
  </si>
  <si>
    <t>P1</t>
  </si>
  <si>
    <t>Image + Text</t>
  </si>
  <si>
    <t>Knowledge-based visual question answering</t>
  </si>
  <si>
    <t>Artificial intelligence</t>
  </si>
  <si>
    <t>P2</t>
  </si>
  <si>
    <t>Medical visual question answering and medical report generation</t>
  </si>
  <si>
    <t>P3</t>
  </si>
  <si>
    <t>Efficient multimodal large language model inference</t>
  </si>
  <si>
    <t>P4</t>
  </si>
  <si>
    <t>Cross-modal generation</t>
  </si>
  <si>
    <t>Computer vision</t>
  </si>
  <si>
    <t>P5</t>
  </si>
  <si>
    <t>Vision-language object tracking</t>
  </si>
  <si>
    <t>P6</t>
  </si>
  <si>
    <t>Multimodal multi-hop question answering</t>
  </si>
  <si>
    <t>Information retrieval</t>
  </si>
  <si>
    <t>P7</t>
  </si>
  <si>
    <t>Image-text alignment and object recognition</t>
  </si>
  <si>
    <t>Intelligent systems</t>
  </si>
  <si>
    <t>P8</t>
  </si>
  <si>
    <t>Multimodal bundle recommendation</t>
  </si>
  <si>
    <t>Recommender systems</t>
  </si>
  <si>
    <t>P9</t>
  </si>
  <si>
    <t>Cross-modal music retrieval and zero-shot music classification</t>
  </si>
  <si>
    <t>Music information retrieval</t>
  </si>
  <si>
    <t>P10</t>
  </si>
  <si>
    <t>Rare disease phenotyping and zero-shot retrieval</t>
  </si>
  <si>
    <t>P11</t>
  </si>
  <si>
    <t>Remote sensing image recognition and description generation</t>
  </si>
  <si>
    <t>Remote sensing</t>
  </si>
  <si>
    <t>P12</t>
  </si>
  <si>
    <t>Multimodal sentiment analysis and emotion recognition</t>
  </si>
  <si>
    <t>Affective computing</t>
  </si>
  <si>
    <t>P13</t>
  </si>
  <si>
    <t>Text-based person re-identification</t>
  </si>
  <si>
    <t>P14</t>
  </si>
  <si>
    <t>Video-text retrieval and object-text alignment</t>
  </si>
  <si>
    <t>Multimedia retrieval</t>
  </si>
  <si>
    <t>P15</t>
  </si>
  <si>
    <t>Gloss-free sign language translation</t>
  </si>
  <si>
    <t>Accessibility technology</t>
  </si>
  <si>
    <t>P16</t>
  </si>
  <si>
    <t>End-to-end text image machine translation</t>
  </si>
  <si>
    <t>Natural language processing</t>
  </si>
  <si>
    <t>P17</t>
  </si>
  <si>
    <t>Multimodal knowledge graph embedding</t>
  </si>
  <si>
    <t>Knowledge representation</t>
  </si>
  <si>
    <t>P18</t>
  </si>
  <si>
    <t>Multimodal sentiment analysis</t>
  </si>
  <si>
    <t>Sentiment analysis</t>
  </si>
  <si>
    <t>P19</t>
  </si>
  <si>
    <t>LLM-based time series forecasting</t>
  </si>
  <si>
    <t>P20</t>
  </si>
  <si>
    <t>Zero-shot classification by prompt tuning</t>
  </si>
  <si>
    <t>Multimodal learning</t>
  </si>
  <si>
    <t>P21</t>
  </si>
  <si>
    <t>3D shape generation and shape editing</t>
  </si>
  <si>
    <t>3D generation</t>
  </si>
  <si>
    <t>P22</t>
  </si>
  <si>
    <t>Contrastive vision-language representation learning</t>
  </si>
  <si>
    <t>Vision-language learning</t>
  </si>
  <si>
    <t>P23</t>
  </si>
  <si>
    <t>Audio-visual speech recognition</t>
  </si>
  <si>
    <t>Speech processing</t>
  </si>
  <si>
    <t>P24</t>
  </si>
  <si>
    <t>Zero-shot semantic segmentation</t>
  </si>
  <si>
    <t>P25</t>
  </si>
  <si>
    <t>Follow-up medical visual question answering</t>
  </si>
  <si>
    <t>P26</t>
  </si>
  <si>
    <t>Breast cancer diagnosis</t>
  </si>
  <si>
    <t>P27</t>
  </si>
  <si>
    <t>Automatic speech recognition for air traffic control communication</t>
  </si>
  <si>
    <t>Aviation safety</t>
  </si>
  <si>
    <t>P28</t>
  </si>
  <si>
    <t>Robust clinical prediction with missing modalities</t>
  </si>
  <si>
    <t>P29</t>
  </si>
  <si>
    <t>Image-text matching</t>
  </si>
  <si>
    <t>P30</t>
  </si>
  <si>
    <t>Joint disease diagnosis and cross-modal retrieval</t>
  </si>
  <si>
    <t>P31</t>
  </si>
  <si>
    <t>Mixed land-use measurement and mapping</t>
  </si>
  <si>
    <t>Geoinformatics</t>
  </si>
  <si>
    <t>P32</t>
  </si>
  <si>
    <t>Multimodal fake news detection</t>
  </si>
  <si>
    <t>Cybersecurity</t>
  </si>
  <si>
    <t>P33</t>
  </si>
  <si>
    <t>P34</t>
  </si>
  <si>
    <t>Cross-modal information retrieval</t>
  </si>
  <si>
    <t>P35</t>
  </si>
  <si>
    <t>Geometry problem solving</t>
  </si>
  <si>
    <t>Education</t>
  </si>
  <si>
    <t>P36</t>
  </si>
  <si>
    <t>P37</t>
  </si>
  <si>
    <t>Medical visual question answering</t>
  </si>
  <si>
    <t>P38</t>
  </si>
  <si>
    <t>Emotion-aware cross-modal music generation</t>
  </si>
  <si>
    <t>P39</t>
  </si>
  <si>
    <t>Multimodal emotion recognition</t>
  </si>
  <si>
    <t>P40</t>
  </si>
  <si>
    <t>Manufacturing process monitoring</t>
  </si>
  <si>
    <t>Smart manufacturing</t>
  </si>
  <si>
    <t>P41</t>
  </si>
  <si>
    <t>Unified multimodal next-token prediction</t>
  </si>
  <si>
    <t>P42</t>
  </si>
  <si>
    <t>Universal signal tokenization</t>
  </si>
  <si>
    <t>Multimodal LLMs</t>
  </si>
  <si>
    <t>P43</t>
  </si>
  <si>
    <t>Fine-grained vision-language understanding</t>
  </si>
  <si>
    <t>P44</t>
  </si>
  <si>
    <t>Semantic ID generation for recommendation</t>
  </si>
  <si>
    <t>P45</t>
  </si>
  <si>
    <t>Figurative language understanding</t>
  </si>
  <si>
    <t>P46</t>
  </si>
  <si>
    <t>Self-supervised contrastive representation learning</t>
  </si>
  <si>
    <t>P47</t>
  </si>
  <si>
    <t>Pixel-grounded face understanding</t>
  </si>
  <si>
    <t>P48</t>
  </si>
  <si>
    <t>Unified image tokenization for understanding and generation</t>
  </si>
  <si>
    <t>Multimodal AI</t>
  </si>
  <si>
    <t>P49</t>
  </si>
  <si>
    <t>Multi-granularity visual instruction tuning</t>
  </si>
  <si>
    <t>P50</t>
  </si>
  <si>
    <t>Unified multimodal instruction understanding</t>
  </si>
  <si>
    <t>P51</t>
  </si>
  <si>
    <t>Fine-grained spatial-temporal understanding</t>
  </si>
  <si>
    <t>Video understanding</t>
  </si>
  <si>
    <t>P52</t>
  </si>
  <si>
    <t>Any-to-any multimodal conversation</t>
  </si>
  <si>
    <t>Generative AI</t>
  </si>
  <si>
    <t>P53</t>
  </si>
  <si>
    <t>Time-aligned and contextual multimodal modeling</t>
  </si>
  <si>
    <t>P54</t>
  </si>
  <si>
    <t>Video-text retrieval</t>
  </si>
  <si>
    <t>P55</t>
  </si>
  <si>
    <t>Medical visual question answering with multi-level reasoning</t>
  </si>
  <si>
    <t>P56</t>
  </si>
  <si>
    <t>Multimodal emotion recognition and reasoning</t>
  </si>
  <si>
    <t>P57</t>
  </si>
  <si>
    <t>Real-time human emotion recognition</t>
  </si>
  <si>
    <t>DoKE: Domain knowledge–enhanced multimodal large language model–based framework for chest X–ray follow–up medical visual question answering</t>
  </si>
  <si>
    <t>TriVLLo: Tri-View Dynamic Architecture and Unified Cross-Modal Representation for Efficient Fine-Grained Vision-Language Understanding</t>
  </si>
  <si>
    <t>Text + Image + Category data</t>
  </si>
  <si>
    <t>Genomic data + Images + Wearable sensor time series</t>
  </si>
  <si>
    <t>Images + Genomic data</t>
  </si>
  <si>
    <t>Audio + Text</t>
  </si>
  <si>
    <t>Structured measurements + Text</t>
  </si>
  <si>
    <t>Audio + Text + Video</t>
  </si>
  <si>
    <t>Text + Video</t>
  </si>
  <si>
    <t>Audio + MIDI + Text</t>
  </si>
  <si>
    <t>Audio + Image + Text</t>
  </si>
  <si>
    <t>3D shapes + Image + Text</t>
  </si>
  <si>
    <t>Image + Text + Social context</t>
  </si>
  <si>
    <t>No. of Studies</t>
  </si>
  <si>
    <t>Image + Text + Video + Robotic actions</t>
  </si>
  <si>
    <t>Audio + Image + Text + Video</t>
  </si>
  <si>
    <t>Recognition</t>
  </si>
  <si>
    <t>Recommendation</t>
  </si>
  <si>
    <t>Representation Learning</t>
  </si>
  <si>
    <t>Question Answering</t>
  </si>
  <si>
    <t>Language learning</t>
  </si>
  <si>
    <t>Representation-Learning</t>
  </si>
  <si>
    <t>TOTAL</t>
  </si>
  <si>
    <t>Country</t>
  </si>
  <si>
    <t>Publication Type</t>
  </si>
  <si>
    <t>Publication Year Distribution</t>
  </si>
  <si>
    <t>Authors Distribution</t>
  </si>
  <si>
    <t>Publication Channel</t>
  </si>
  <si>
    <t>Publisher Distribution</t>
  </si>
  <si>
    <t>Modalities Combination</t>
  </si>
  <si>
    <t>Number of Modalities</t>
  </si>
  <si>
    <t>Citation</t>
  </si>
  <si>
    <t>Top 10 Most Cited Papers</t>
  </si>
  <si>
    <t>Conference</t>
  </si>
  <si>
    <t>Research Area</t>
  </si>
  <si>
    <t>Task</t>
  </si>
  <si>
    <t>United States of America</t>
  </si>
  <si>
    <t>United Arab Emirate</t>
  </si>
  <si>
    <t>Task Classification</t>
  </si>
  <si>
    <t>Paper IDs</t>
  </si>
  <si>
    <t>Understanding</t>
  </si>
  <si>
    <t>Reasoning</t>
  </si>
  <si>
    <t>Alignment</t>
  </si>
  <si>
    <t>P7, P14</t>
  </si>
  <si>
    <t>P15, P16</t>
  </si>
  <si>
    <t>Detection</t>
  </si>
  <si>
    <t>Emotion-Analysis</t>
  </si>
  <si>
    <t>Tokenization</t>
  </si>
  <si>
    <t>Grounding</t>
  </si>
  <si>
    <t>Model-Efficiency</t>
  </si>
  <si>
    <t>Inference</t>
  </si>
  <si>
    <t>Localization</t>
  </si>
  <si>
    <t>Editing</t>
  </si>
  <si>
    <t>Matching</t>
  </si>
  <si>
    <t>Mapping</t>
  </si>
  <si>
    <t>Problem-Solving</t>
  </si>
  <si>
    <t>Monitoring</t>
  </si>
  <si>
    <t>Instruction-Tuning</t>
  </si>
  <si>
    <t>Instruction-Following</t>
  </si>
  <si>
    <t>Conversation</t>
  </si>
  <si>
    <t>Multimodal-Modeling</t>
  </si>
  <si>
    <t>No. of studies</t>
  </si>
  <si>
    <t>Hybrid Tokenization</t>
  </si>
  <si>
    <t>Unified Tokenizer/Codebook</t>
  </si>
  <si>
    <t>Object-Centric/Semantic Tokenization</t>
  </si>
  <si>
    <t>Temporal &amp; Spatial Compression</t>
  </si>
  <si>
    <t>Task-Adaptive Tokenization</t>
  </si>
  <si>
    <t>Fusion-based architectures</t>
  </si>
  <si>
    <t>Alignment-based architectures</t>
  </si>
  <si>
    <t>Attention-based architectures</t>
  </si>
  <si>
    <t>Graph-based architectures</t>
  </si>
  <si>
    <t>Expert-based architectures</t>
  </si>
  <si>
    <t>Modality-agnostic architectures</t>
  </si>
  <si>
    <t>Transformer-Based architectures</t>
  </si>
  <si>
    <t>Co-training architectures</t>
  </si>
  <si>
    <t>Generative Methods</t>
  </si>
  <si>
    <t>Architectural design employed</t>
  </si>
  <si>
    <t>AcFormer: aligned compact Transformer with pivot-attention fusion</t>
  </si>
  <si>
    <t>TILT: dual-encoder text-image Transformer with cross-modal interaction encoder and similarity matching</t>
  </si>
  <si>
    <t>OFIA: object-centric fine-grained video-text alignment with TOTAL and SIFA modules</t>
  </si>
  <si>
    <t>Dual visual encoder SLT framework with contrastive pretraining and mBART encoder-decoder translation</t>
  </si>
  <si>
    <t>METIMT: end-to-end text image machine translation with image encoder, Transformer encoder, and Transformer decoder</t>
  </si>
  <si>
    <t>Multimodal knowledge graph embedding with image encoder, text encoder, cross-attention multimodal encoder, and visual prompting</t>
  </si>
  <si>
    <t>VLCLNet: BLIP-2/LLM-based multimodal sentiment network with attentive fusion and LoRA fine-tuning</t>
  </si>
  <si>
    <t>BALM-TSF: dual-branch time-series/text architecture with balanced multimodal alignment</t>
  </si>
  <si>
    <t>TaAM-CPT: text-as-any-modality prompt tuning with modality prompt pools and modality-aligned text encoders</t>
  </si>
  <si>
    <t>MIRA: Multimodal RAG with vision encoder, text encoder, retrieval module, and generative MLLM reasoning</t>
  </si>
  <si>
    <t>VISA: Graph-based visual token selection and aggregation for efficient MLLM inference</t>
  </si>
  <si>
    <t>Unified multimodal Transformer for bidirectional image-to-text and text-to-image generation</t>
  </si>
  <si>
    <t>All-in-One unified vision-language tracking Transformer</t>
  </si>
  <si>
    <t>GMRAG: Global question-aware multimodal retriever with cross-modal contrastive learning</t>
  </si>
  <si>
    <t>IoT-oriented MLLM using ViT/QFormer/FC projection for image-text alignment</t>
  </si>
  <si>
    <t>Caro: Cross-modal attention and category-wise graph-enhanced bundle construction</t>
  </si>
  <si>
    <t>Tri-modal contrastive learning with text as bridge modality for MIDI, audio, and text</t>
  </si>
  <si>
    <t>Unified multimodal encoder-decoder Transformer for genomics, 3-D imaging, and wearable biosignals</t>
  </si>
  <si>
    <t>ShapeGPT: unified multimodal language model for 3D shape generation</t>
  </si>
  <si>
    <t>Finite Discrete Tokens (FDT)-based CLIP-style multimodal representation learning</t>
  </si>
  <si>
    <t>VATLM: unified visual-audio-text language model with shared Transformer and unified masked prediction</t>
  </si>
  <si>
    <t>MPT-CLIP: multimodal patch-level prompt alignment with hierarchical optimal transport</t>
  </si>
  <si>
    <t>DoKE: domain knowledge-enhanced MLLM with intra/inter-image self-attention</t>
  </si>
  <si>
    <t>FESCA: feature enhancement and semantic collaborative alignment for pathology-genomics diagnosis</t>
  </si>
  <si>
    <t>Speech-text multimodal dual-tower architecture with cross-modal interaction</t>
  </si>
  <si>
    <t>ARMOUR: Transformer-based cross-modal fusion with modality-specific tokens and contrastive learning</t>
  </si>
  <si>
    <t>HCAD: hierarchical cross-modality attention distillation for image-text matching</t>
  </si>
  <si>
    <t>RadFuse: multimodal transformer with bidirectional cross-attention for CXR-report diagnosis and retrieval</t>
  </si>
  <si>
    <t>CLIP-based zero-shot vision-language alignment with spatial context-aware prompts</t>
  </si>
  <si>
    <t>SARD: CLIP contrastive learning with multimodal semantic alignment and N-HIN social-context features</t>
  </si>
  <si>
    <t>Other</t>
  </si>
  <si>
    <t>MKNNet: modality-aligned multimodal Transformer for information retrieval</t>
  </si>
  <si>
    <t>Shared multimodal encoder-decoder geometry problem solver with contrastive alignment</t>
  </si>
  <si>
    <t>FMC: multi-granularity textual-visual feature fusion with cross-modal alignment and co-attention</t>
  </si>
  <si>
    <t>CMMO: two-tower medical vision-language pretraining with multimodal Transformer encoder</t>
  </si>
  <si>
    <t>MEMGM: multimodal emotion-guided music generation with cross-modal Transformer, BiLSTM, gating, and contrastive learning</t>
  </si>
  <si>
    <t>PAA–MDIP–DRLED framework for unaligned multimodal emotion recognition</t>
  </si>
  <si>
    <t>CLIP-inspired unsupervised multimodal sensor-fusion framework for manufacturing process monitoring</t>
  </si>
  <si>
    <t>Emu3: unified decoder-only multimodal next-token prediction architecture</t>
  </si>
  <si>
    <t>Harmonizer: universal signal tokenization with FusionQuantizer and FluxFormer</t>
  </si>
  <si>
    <t>TriVLLo: tri-view dynamic multiscale vision-language fusion architecture</t>
  </si>
  <si>
    <t>MMQ: multimodal mixture-of-quantization tokenizer with shared and modality-specific experts</t>
  </si>
  <si>
    <t>Multimodal cognitive mapping framework with graph-enhanced Transformer, CLIP, graph-based cross-modal attention, and cognitive mapping layer</t>
  </si>
  <si>
    <t>Modular QCB-Learner with self-supervised contrastive learning, RealNVP, vector quantization, Bernoulli binary encoding, and MiDO optimization</t>
  </si>
  <si>
    <t>GroundingFace: pixel-grounded face MLLM with face-prior sampling, SAM features, high-quality adapter, and LoRA-MoE routing</t>
  </si>
  <si>
    <t>TokenFlow: unified dual-codebook image tokenizer for multimodal understanding and generation</t>
  </si>
  <si>
    <t>MG-LLaVA: multi-granularity vision flow with low-resolution, high-resolution, and object-level feature fusion</t>
  </si>
  <si>
    <t>Uni-MoE: unified multimodal LLM with sparse mixture-of-experts and modality-specific encoders/connectors</t>
  </si>
  <si>
    <t>P58</t>
  </si>
  <si>
    <t>LLaVA-ST: spatial-temporal MLLM with Language-Aligned Positional Embedding and Spatial-Temporal Packer</t>
  </si>
  <si>
    <t>AnyGPT: unified any-to-any multimodal LLM using discrete sequence modeling</t>
  </si>
  <si>
    <t>Mirasol3B: decoupled autoregressive audio-video-text model with Combiner fusion mechanism</t>
  </si>
  <si>
    <t>MILES: dual-encoder video-text retrieval with masked visual modeling and injected language semantics</t>
  </si>
  <si>
    <t>MLeVLM: medical MLLM with multi-level feature alignment, attention-based token selector, and context merger</t>
  </si>
  <si>
    <t>Emotion-LLaMA: emotion-specific audio, visual, and textual feature integration into LLaMA</t>
  </si>
  <si>
    <t>M-fusHER: three-stage multimodal emotion recognition model with CNN-mLSTM, transformer-based fusion, and YOLOv6</t>
  </si>
  <si>
    <t>SaP-Bot: end-to-end MLLM-based same-product identification model</t>
  </si>
  <si>
    <t>SDG-MLLM: structured dialogue graph injection into MLLM for multimodal conversational ABSA</t>
  </si>
  <si>
    <t>Large-Small Model Synergy framework with visual/textual collaboration modules</t>
  </si>
  <si>
    <t>Architectural Category</t>
  </si>
  <si>
    <t>CLIP-OPT multimodal interaction framework with ViT/QFormer and FC alignment layer</t>
  </si>
  <si>
    <t>Deep learning; Large language model; Multimodal representation learning; Sentiment analysis</t>
  </si>
  <si>
    <t>Alipay, Ant Group</t>
  </si>
  <si>
    <t>SaP-Bot: A Multimodal Large-Language Model for End-to-End Same-Product Identification</t>
  </si>
  <si>
    <t>Same-product identification serves as a critical infrastructure in e-commerce systems, enabling accurate product matching across heterogeneous marketing representations for key applications such as price comparison and personalized recommendation. Conventional approaches typically depend on manual feature engineering and extensive rule tuning, which limits their adaptability to varying identification criteria across different product categories and inconsistent business scenarios. To overcome these challenges, we propose an end-to-end same-product identification model powered by multimodal large language models (MLLMs) that inherently support multimodal alignment and exhibit strong generalization across diverse real-world settings. We first introduce a novel group-wise annotation pipeline to construct a high-quality dataset, consisting of diverse product pairs with multimodal presentations and labeled at the SKU level. Building on this dataset, we incorporate task-specific training recipes from the perspective of data augmentation, resulting in our SaP-Bot, which demonstrates advanced performance and generalization capabilities. Moreover, we identify a strong correlation between the output logits of MLLMs and the product similarity, enabling interpretable confidence estimation that benefits both data annotation and downstream applications.</t>
  </si>
  <si>
    <t>https://doi.org/10.1145/3746027.3754835</t>
  </si>
  <si>
    <t>Yixuan Zhou, Yulu Tian, Wenliang Zhong, Xingbin Yu, HengTao Shen, Xing Xu</t>
  </si>
  <si>
    <t>Multimodal Conversational Aspect-based Sentiment Analysis (MCA BSA) is a challenging task for multimodal dialogue understanding. Existing works often treat the entire dialogue as a flat sequence and feed it into Large Language Models (LLMs) for pipeline-style generation. However, these methods sometimes accumulate errors and overlook critical discourse structure and fine-grained inter-word relations that are essential for accurate sentiment reasoning. To address these limitations, we propose SDG-MLLM, a unified generative framework that integrates Structured Dialogue Graphs into Multimodal LLM (MLLM) for an end-to-end MCABSA. Specifically, we construct heterogeneous dialogue graphs that capture diverse structural relations, including syntactic dependencies, coreference links, speaker turns, reply flow, semantic role labeling, and sentiment propagation paths. These graphs are encoded using a heterogeneous dialogue graph encoder, and the resulting structure-aware graph features are injected into the embedding layer of LLM. Furthermore, SDG-MLLM incorporates aligned multimodal features such as image, audio, and video cues at the utterance level to enable unified and context-aware multimodal reasoning. Experiments on the MCABSA dataset show that SDG-MLLM significantly outperforms strong baselines across multiple tasks. In addition, our method also achieved top performance in the ACM MM 2025 Grand Challenge of MCABSA. Our code is available at https://github.com/Liuxj-Anya/SDG-MLLM.</t>
  </si>
  <si>
    <t>https://doi.org/10.1145/3746027.3762071</t>
  </si>
  <si>
    <t>Beijing University of Posts and Telecommunications</t>
  </si>
  <si>
    <t>Xinjing Liu, Pengyue Lin, Xinyu Tu, Wenqi Jia, Chen Jiang, Ruifan Li</t>
  </si>
  <si>
    <t>End-to-end same-product identification</t>
  </si>
  <si>
    <t>Multimodal conversational aspect-based sentiment analysis</t>
  </si>
  <si>
    <t>Identification</t>
  </si>
  <si>
    <t>Anomaly Detection</t>
  </si>
  <si>
    <t>E-commerce</t>
  </si>
  <si>
    <t>p58</t>
  </si>
  <si>
    <t>ACM Digital Library</t>
  </si>
  <si>
    <t>Studies Retrived</t>
  </si>
  <si>
    <t>Studies Included</t>
  </si>
  <si>
    <t>IEEE Xplore</t>
  </si>
  <si>
    <t>Science Direct</t>
  </si>
  <si>
    <t>Scopus</t>
  </si>
  <si>
    <t>Springer</t>
  </si>
  <si>
    <t>Databases</t>
  </si>
  <si>
    <t>IDs</t>
  </si>
  <si>
    <t>p2, p10, p25, p26, p28, p30, p36, p54</t>
  </si>
  <si>
    <t>p4, p5, p13, p24, p45, p46</t>
  </si>
  <si>
    <t>p12, p37, p38, p55, p56</t>
  </si>
  <si>
    <t>p41, p48, p49</t>
  </si>
  <si>
    <t>p1, p3</t>
  </si>
  <si>
    <t>p6, p33</t>
  </si>
  <si>
    <t>p8, p43</t>
  </si>
  <si>
    <t>p14, p53</t>
  </si>
  <si>
    <t>p16, p44</t>
  </si>
  <si>
    <t>p22, p29</t>
  </si>
  <si>
    <t>p32, p35</t>
  </si>
  <si>
    <t>p40, p47</t>
  </si>
  <si>
    <t>p42, p52</t>
  </si>
  <si>
    <t>p18, p58</t>
  </si>
  <si>
    <t>P9, P10, P13, P14, P29, P30, P33, P53</t>
  </si>
  <si>
    <t>P42, P44, P47, P48, P49, P50, P52</t>
  </si>
  <si>
    <t>P1, P2, P6, P25, P36, P54</t>
  </si>
  <si>
    <t>P9, P20, P31, P32, P35</t>
  </si>
  <si>
    <t>P6, P34, P44, P54, P55</t>
  </si>
  <si>
    <t>P17, P22, P40, P41, P43</t>
  </si>
  <si>
    <t>P10, P26, P30</t>
  </si>
  <si>
    <t>P12, P18, P58</t>
  </si>
  <si>
    <t>P32, P35</t>
  </si>
  <si>
    <t>P46, P50</t>
  </si>
  <si>
    <t>P13, P57</t>
  </si>
  <si>
    <t>P8, P43</t>
  </si>
  <si>
    <t>P41, P47</t>
  </si>
  <si>
    <t>Music information processing</t>
  </si>
  <si>
    <t>Time series + Text</t>
  </si>
  <si>
    <t>Image + text</t>
  </si>
  <si>
    <t>P7, P11, P23, P27, P37, P38, P42, P46, P55, P56</t>
  </si>
  <si>
    <t>P2, P4, P11, P21, P37 P40, P47, P51</t>
  </si>
  <si>
    <t>Audio + Image + Laser position + Laser power measurements</t>
  </si>
  <si>
    <t>Binary representations + Image</t>
  </si>
  <si>
    <t>Image + Text + Video</t>
  </si>
  <si>
    <t>Studies</t>
  </si>
  <si>
    <t>P1, P2, P3, P4, P6, P7, P11, P13, P16, P17, P18, P22, P24, P25, P29, P30, P31, P33, P34, P35, P36, P42, P43, P44, P46, P47, P48, P54, P57</t>
  </si>
  <si>
    <t>P5, P14, P15, P53</t>
  </si>
  <si>
    <t>P12, P23, P37, P38, P41, P52, P55, P56</t>
  </si>
  <si>
    <t>P20, P49, P58</t>
  </si>
  <si>
    <t>Datasets</t>
  </si>
  <si>
    <t>MS-COCO</t>
  </si>
  <si>
    <t>MSR-VTT; MSVD; DiDeMo; ActivityNet Captions</t>
  </si>
  <si>
    <t>MIMIC-Diff-VQA</t>
  </si>
  <si>
    <t>MS-COCO; Flickr30K</t>
  </si>
  <si>
    <t>IEMOCAP</t>
  </si>
  <si>
    <t>FacePlayGround-240K</t>
  </si>
  <si>
    <t>MERR; EMER; MER2023; MER2024; DFEW</t>
  </si>
  <si>
    <t>Accuracy</t>
  </si>
  <si>
    <t>OK-VQA, A-OKVQA, KB-VQA, FVQA</t>
  </si>
  <si>
    <t>MIMIC-CXR, PubMedVisioon</t>
  </si>
  <si>
    <t>TextVQA, SQA-IMG, VizWiz, VQAv2, GQA, MM-Vet, MMBench, MMBench CN, POPE, MME, TGIF-QA, MSVD-QA, MSRVTT-QA, Net-QA</t>
  </si>
  <si>
    <t>Accuracy, Capability Score</t>
  </si>
  <si>
    <t>AUC; Precision, Normalized Precision, Accuracy</t>
  </si>
  <si>
    <t>WebUAV-3M, LaSOT, LaSOT, LaSOTExt, OTB99-L, TNL2K</t>
  </si>
  <si>
    <t>MuMuQA, MultimodalQA</t>
  </si>
  <si>
    <t>Accuracy, Precision, Recall, F1-score</t>
  </si>
  <si>
    <t>Flickr30k, COCO, AI2D</t>
  </si>
  <si>
    <t>TaoBao (POG), Amazon product corpus (Electronic, and Food)</t>
  </si>
  <si>
    <t>MidiCaps</t>
  </si>
  <si>
    <t>TCGA-GBM, ADNI, UKBiobank signals</t>
  </si>
  <si>
    <t>AUROC, F1, Recall@K,  MRR</t>
  </si>
  <si>
    <t>Recall@K</t>
  </si>
  <si>
    <t>Recall@K, NDCG</t>
  </si>
  <si>
    <t>F1, EM, MRR, Recall@K</t>
  </si>
  <si>
    <t>SIRI-WHU, Sydney Caption, WHU-RS19</t>
  </si>
  <si>
    <t>Accuracy, Recall@K, BLEU@N, Completeness</t>
  </si>
  <si>
    <t>Accuracy, F1, MAE, Correlation</t>
  </si>
  <si>
    <t>MELD</t>
  </si>
  <si>
    <t>CUHK-PEDES, ICFG-PEDES, RSTPReid</t>
  </si>
  <si>
    <t>Rank-N, mAP</t>
  </si>
  <si>
    <t>Recall@K, MdR</t>
  </si>
  <si>
    <t>Phoenix-2014T</t>
  </si>
  <si>
    <t>BLEU@N, ROUGE, BLEURT</t>
  </si>
  <si>
    <t>Synthetic TIMT</t>
  </si>
  <si>
    <t>BLEU, WER, Decoding speed,  Amount of trainable parameters</t>
  </si>
  <si>
    <t xml:space="preserve"> Hits@k, Mean Rank (MR)</t>
  </si>
  <si>
    <t>FB15k-237</t>
  </si>
  <si>
    <t>Accuracy, F1, Precision, Recall</t>
  </si>
  <si>
    <t>MVSA-Single, MVSA-Multiple, TWITTER-15, TWITTER-17</t>
  </si>
  <si>
    <t>ETTh1, ETTh2, ETTm1, ETTm2, Exchange, Weather dataset</t>
  </si>
  <si>
    <t>MSE, MAE, Trainable Parameter</t>
  </si>
  <si>
    <t>UCF101, Kinetic-400/600/700, MSCOCO, VOC2007, NUSWIDE, VOC2012, ImageNet-mini, Objects365, ESC50, US8K</t>
  </si>
  <si>
    <t>Top-1/5 accuracy, mAP</t>
  </si>
  <si>
    <t>ShapeNet, Text2Shape</t>
  </si>
  <si>
    <t>YFCC-15MV2, CC3M, CC12M, LAION115M</t>
  </si>
  <si>
    <t>Accuracy, Recall@K</t>
  </si>
  <si>
    <t>WER</t>
  </si>
  <si>
    <t>LRS3, VoxCeleb2, GigaSpeech, TED-LIUM3, Cantab-TEDLIUM, MUSAN, LRS2</t>
  </si>
  <si>
    <t>PASCAL VOC, PASCAL Context</t>
  </si>
  <si>
    <t>mIoU, hIoU</t>
  </si>
  <si>
    <t>BLEU-N, METEOR, ROUGE-L, CIDEr, Accuracy, Precision, Recall@K, F1-score</t>
  </si>
  <si>
    <t>mRNA, WSIs</t>
  </si>
  <si>
    <t>IoU, Chamfer Distance (CD), F1-score, P-FID,  ULIP,  User preference ratios</t>
  </si>
  <si>
    <t>ATCC, AISHELL-1</t>
  </si>
  <si>
    <t>CER</t>
  </si>
  <si>
    <t>AUROC, AUPRC, MacF1, Accuracy</t>
  </si>
  <si>
    <t>BLEU-N, METEOR, ROUGE-L, CIDEr, and SPICE</t>
  </si>
  <si>
    <t>FID, R-precision, CLIPScore, BLEU-N, ROUGE-L, METEOR, CIDEr, SPICE</t>
  </si>
  <si>
    <t>AUPRC, F1-score, Precision, Recall</t>
  </si>
  <si>
    <t>MIMIC-III, MIMIC-Extract</t>
  </si>
  <si>
    <t>Retrieval accuracy, Average Semantic Robustness (ASR), Average Interpretability Score (AIS)</t>
  </si>
  <si>
    <t xml:space="preserve"> Image and Text Multimodal data</t>
  </si>
  <si>
    <t>MIMIC-CXR, IU X-ray</t>
  </si>
  <si>
    <t>BLEU-N, ROUGE-L, METEOR, CIDEr, Recall@K, AUC, F1-score, Accuracy</t>
  </si>
  <si>
    <t>NYC Google Street View, OSM data</t>
  </si>
  <si>
    <t xml:space="preserve"> Degree of matching,  Average DI</t>
  </si>
  <si>
    <t xml:space="preserve"> PHEME, Gossipcop, MR</t>
  </si>
  <si>
    <t>Recall@K, Precision, mAP, MRR</t>
  </si>
  <si>
    <t>GeoQA, Math23K</t>
  </si>
  <si>
    <t>Problem-solving accuracy</t>
  </si>
  <si>
    <t>Accuracy, Precision, Recall, F1-score, MCC</t>
  </si>
  <si>
    <t>ReCOvery, GossipCop, MR</t>
  </si>
  <si>
    <t>VQA-RAD,  PathVQA, SLAKE, ROCO, MedCaT, ImageCLEF2022</t>
  </si>
  <si>
    <t>CMU-MOSI, CMU-MOSEI, IEMOCAP</t>
  </si>
  <si>
    <t>Accuracy, F1-score, Polyphony Rate, Pitch Entropy, Groove Consistency, Emotion Matching</t>
  </si>
  <si>
    <t>Accuracy, Precision, Recall, F1-score, Macro-averaged F1-score, Micro-averaged F1-score</t>
  </si>
  <si>
    <t>In-process and post-process manufacturing sensor data</t>
  </si>
  <si>
    <t>Accuracy, Loss value</t>
  </si>
  <si>
    <t>Aquila corpus, FineWeb-Edu, LAION-5B, LAION-Aesthetic, COYO-700M, DataComp, OpenImages, SA-1B, JourneyDB, DiffusionDB, In-house Emu3 image data, In-house Emu3 image data, HowTo100M, YT-Temporal-1B</t>
  </si>
  <si>
    <t>FID, GenEval, CompBench</t>
  </si>
  <si>
    <t>ST-Align, RefCOCO, Charades-STA, VCG-Bench, MSVD-QA, MSRVTT-QA</t>
  </si>
  <si>
    <t>tIoU, mtIoU, sIoU, msIoU, METEOR, REC, Accuracy, Recall@K</t>
  </si>
  <si>
    <t>A-OKVQA, OK-VQA, VQAv2,  MMBench, RACE, ClothoAQA, ActivityNet, MSVD-QA, EHSL</t>
  </si>
  <si>
    <t>Exact Match (EM), Accuracy, CIDEr</t>
  </si>
  <si>
    <t>MSE, Correlation Coefficient (CC), Cosine Similarity (CS), DTW, Spectral Convergence (SC), SNR, LSD, MFCC similarity, PMSE, SSIM, PSNR</t>
  </si>
  <si>
    <t>VCTK, MusicCaps, UCF-101, E-GMD v1.0.0, Maestro v3.0.0, and GTZAN</t>
  </si>
  <si>
    <t>CC3M, MINT-1T, SEDECVQA</t>
  </si>
  <si>
    <t>Accuracy, Benchmark Score, Spatial Cognition Score, Knowledge Generation score, F1-score, Retrieval, Inference Time</t>
  </si>
  <si>
    <t>E-commerce advertising platform, Amazon Product Reviews</t>
  </si>
  <si>
    <t>Reconstruction Loss, Codebook utilization, Token Distribution Entropy, Recall@K, NDCG@N, AUC, GAUC, CVR</t>
  </si>
  <si>
    <t xml:space="preserve"> Classification of Similes and Metaphors, IRFL, Met-Meme</t>
  </si>
  <si>
    <t>Accuracy, Precision, Recall, AUC, F1-Score</t>
  </si>
  <si>
    <t>CIFAR-10; Synthetic generated data</t>
  </si>
  <si>
    <t>MSE, Cosine Similarity, JS Divergence, Wasserstein Distance, KL Divergence, MAE, RMSE, MAPE, R2, PCC, DSSIM, NMI, PSNR</t>
  </si>
  <si>
    <t>METEOR, mask AP, mask IoU (mIOU)</t>
  </si>
  <si>
    <t>LAION, COYO-700M, ImageNet</t>
  </si>
  <si>
    <t>LAION-CCSBU, ALLaVA-4V-Caption,  LLaVA-Instruct, ALLaVA-4V-Instruction,  ShareGPT4V, DocVQA, DVQA, AI2D</t>
  </si>
  <si>
    <t>rFID, PSNR, SSIM</t>
  </si>
  <si>
    <t>VLMEvalKit</t>
  </si>
  <si>
    <t>LAION-2B, LAION-COCO, LAION-Aesthetics, JouneyDB, MMC4-core, Gigaspeech, Common Voice, Multilingual LibriSpeech</t>
  </si>
  <si>
    <t>CIDEr, CLIPscore, WER, SIM</t>
  </si>
  <si>
    <t>MSRVTT-QA, ActivityNet, NExT-QA, Kinetics-Sound, VGG-Sound, Epic-Sound</t>
  </si>
  <si>
    <t>Benchmark accuracy</t>
  </si>
  <si>
    <t>CC3M, WebVid-2M, MSR-VTT, MSVD, LSMDC, DiDeMo, HMBD, UCF101</t>
  </si>
  <si>
    <t>Recall@K, MedR, MnR, zero-shot accuracy</t>
  </si>
  <si>
    <t>MedMINIST, Medicat, PMCVQA, ROCO, MIMIC-CXR, PMCVQA, Slake, VQA-RAD, PathVQA, VQA-Med</t>
  </si>
  <si>
    <t>Rouge-L, BLEU, Sentence Similarity, GPT-API</t>
  </si>
  <si>
    <t>F1-score, WAF, UAR, WAR</t>
  </si>
  <si>
    <t>Accuracy, F1-score, AvgWA, Wacc</t>
  </si>
  <si>
    <t>IEMOCAP, MOSEI, MELD</t>
  </si>
  <si>
    <t>Accuracy, Precision, Recall, F1-score, Recall@K</t>
  </si>
  <si>
    <t>SaP-35K</t>
  </si>
  <si>
    <t>Element-level, pair-level, sextuple F1, exact-match F1, Flipped Sentiment and Trigger</t>
  </si>
  <si>
    <t>Alignment Category</t>
  </si>
  <si>
    <t>Papers</t>
  </si>
  <si>
    <t>Frequency</t>
  </si>
  <si>
    <t>P5, P6, P7, P9, P10, P11, P12, P13, P15, P16, P18, P19, P20, P22, P26, P31, P32, P33, P34, P36, P37, P39, P45, P53</t>
  </si>
  <si>
    <t>P1, P21, P25, P42, P46, P48, P49, P50, P55, P57</t>
  </si>
  <si>
    <t>P2, P8, P27, P28, P29, P30, P35, P54, P56</t>
  </si>
  <si>
    <t>P4, P23, P40, P47, P51, P52</t>
  </si>
  <si>
    <t>P17, P44, P58</t>
  </si>
  <si>
    <t>Core Alignment Technique Used</t>
  </si>
  <si>
    <t>Visual/textual collaboration modules project small-VLM knowledge into MLLM semantic space with synergy and discrepancy losses</t>
  </si>
  <si>
    <t>Dynamic modality fusion using attention-based weighting of image and text evidence in a medical RAG framework</t>
  </si>
  <si>
    <t>Graph-based visual token aggregation and text-guided visual token selection</t>
  </si>
  <si>
    <t>Unified token-sequence modeling for bidirectional image-to-text and text-to-image generation</t>
  </si>
  <si>
    <t>Cross-modal and intra-modal contrastive alignment before unified Transformer tracking</t>
  </si>
  <si>
    <t>Cross-modal contrastive learning for multimodal retrieval-augmented question answering</t>
  </si>
  <si>
    <t>Symmetric image-text contrastive learning with similarity-based cross-entropy loss</t>
  </si>
  <si>
    <t>Cross-modal attention and bundle-level contrastive representation enhancement</t>
  </si>
  <si>
    <t>Tri-modal contrastive learning with text as a bridge modality</t>
  </si>
  <si>
    <t>Cross-modal contrastive learning with ontology/knowledge-graph grounding</t>
  </si>
  <si>
    <t>CLIP-based image-text representation learning and projection into OPT language-model space</t>
  </si>
  <si>
    <t>Intra-modal contrastive learning, cross-modal alignment loss, and pivot attention</t>
  </si>
  <si>
    <t>CLIP-based dual encoders, contrastive learning, and masked cross-modal interaction</t>
  </si>
  <si>
    <t>Object-centric fine-grained similarity alignment between detected objects and textual entities</t>
  </si>
  <si>
    <t>Dual-objective contrastive alignment between visual encoders and visual-text representations</t>
  </si>
  <si>
    <t>Intra-modal and inter-modal contrastive learning for text-text, image-image, and text-image alignment</t>
  </si>
  <si>
    <t>Multimodal knowledge graph embedding with CLIP/BERT-based visual prompting</t>
  </si>
  <si>
    <t>BLIP-2 feature extraction, multimodal contrastive loss, attentive fusion, and LoRA tuning</t>
  </si>
  <si>
    <t>Balanced alignment using embedding scaling and contrastive semantic alignment</t>
  </si>
  <si>
    <t>Prompt-level intra-modal and inter-modal contrastive learning</t>
  </si>
  <si>
    <t>Shape-language token/codebook alignment through a unified multimodal language model</t>
  </si>
  <si>
    <t>Finite Discrete Tokens grounded in CLIP-style contrastive vision-language learning</t>
  </si>
  <si>
    <t>Unified masked prediction over shared discrete multimodal tokens</t>
  </si>
  <si>
    <t>Optimal transport and Multi-Prompt Sinkhorn Attention for patch-level prompt alignment</t>
  </si>
  <si>
    <t>Projection of visual and disease-guided knowledge tokens into MLLM embedding space</t>
  </si>
  <si>
    <t>Semantic collaborative alignment using contrastive cross-modal learning</t>
  </si>
  <si>
    <t>Dual-tower architecture with cross-modal attention between speech and text</t>
  </si>
  <si>
    <t>Self-attention, cross-attention, and inter-modal contrastive learning</t>
  </si>
  <si>
    <t>Hierarchical cross-modality attention distillation for object-word and scene-sentence alignment</t>
  </si>
  <si>
    <t>Bidirectional cross-attention with InfoNCE loss for image-text retrieval</t>
  </si>
  <si>
    <t>CLIP-based zero-shot image-text matching</t>
  </si>
  <si>
    <t>CLIP-guided cross-modal contrastive learning and semantic alignment</t>
  </si>
  <si>
    <t>Projection into shared semantic space with triplet and contrastive losses</t>
  </si>
  <si>
    <t>Single-modal and cross-modal contrastive learning</t>
  </si>
  <si>
    <t>Multi-granularity feature fusion, textual-visual co-attention, and auxiliary contrastive learning</t>
  </si>
  <si>
    <t>Image-text contrastive learning, image-text matching, masked language/image modeling</t>
  </si>
  <si>
    <t>Continuous-label supervised contrastive learning in emotional latent space</t>
  </si>
  <si>
    <t>Pseudo-alignment algorithm for unaligned multimodal sequences with deep reinforcement learning</t>
  </si>
  <si>
    <t>CLIP-inspired unsupervised contrastive alignment</t>
  </si>
  <si>
    <t>Unified autoregressive next-token prediction over discrete multimodal tokens</t>
  </si>
  <si>
    <t>Universal signal tokenization using FusionQuantizer and reconstruction/perceptual objectives</t>
  </si>
  <si>
    <t>MLP adapter maps visual encoder features into Qwen LLM semantic embedding space</t>
  </si>
  <si>
    <t>Mixture-of-quantization semantic ID tokenization with reconstruction and behavior-aware adaptation</t>
  </si>
  <si>
    <t>Graph-enhanced Transformer embeddings, CLIP visual features, and cognitive mapping</t>
  </si>
  <si>
    <t>Self-supervised contrastive learning with distributional/geometric modeling</t>
  </si>
  <si>
    <t>Pixel-grounded region-text alignment through MLLM instruction tuning</t>
  </si>
  <si>
    <t>Unified image tokenizer with semantic/pixel flows and autoregressive generation</t>
  </si>
  <si>
    <t>Multi-granularity visual instruction tuning with LLM-compatible visual features</t>
  </si>
  <si>
    <t>Modality-specific encoders/connectors map inputs into LLM language space</t>
  </si>
  <si>
    <t>Language-aligned positional embeddings and spatial-temporal token packing</t>
  </si>
  <si>
    <t>Discrete multimodal tokenization and autoregressive next-token prediction</t>
  </si>
  <si>
    <t>Decoupled autoregressive modeling for time-aligned and contextual modalities with cross-attention</t>
  </si>
  <si>
    <t>Dual-encoder contrastive learning with masked visual modeling</t>
  </si>
  <si>
    <t>Multi-level feature alignment using attention-based token selection, context merging, and projection</t>
  </si>
  <si>
    <t>Projection of audio-visual emotion features into LLaMA embedding space</t>
  </si>
  <si>
    <t>Multi-head attention Transformer encoder and embedding-level multimodal fusion</t>
  </si>
  <si>
    <t>Qwen2.5-VL supervised fine-tuning for same-product identification</t>
  </si>
  <si>
    <t>Heterogeneous dialogue graph construction, graph Transformer encoding, and MLLM projection</t>
  </si>
  <si>
    <t>Contrastive Learning</t>
  </si>
  <si>
    <t>Attention-based</t>
  </si>
  <si>
    <t>LLM-based</t>
  </si>
  <si>
    <t>Graphical Model-Based</t>
  </si>
  <si>
    <t>PanoSent Datasets</t>
  </si>
  <si>
    <t>P1, P3, P5, P7, P11, P12, P18, P22, P25, P28, P30, P32, P35, P36, P37, P38, P39, P42, P44, P49, P50, P56, P57</t>
  </si>
  <si>
    <t>F1-score</t>
  </si>
  <si>
    <t>P6, P7, P10, P12, P18, P21, P25, P26, P30, P32, P35, P37, P38, P42, P44, P55, P56, P57</t>
  </si>
  <si>
    <t>P6, P8, P9, P10, P11, P14, P22, P25, P30, P33, P43, P50, P53, P57</t>
  </si>
  <si>
    <t>Precision</t>
  </si>
  <si>
    <t>P5, P7, P18, P25, P26, P32, P33, P35, P38, P44, P57</t>
  </si>
  <si>
    <t>Recall</t>
  </si>
  <si>
    <t>P7, P18, P26, P32, P35, P38, P44, P57</t>
  </si>
  <si>
    <t>CIDEr</t>
  </si>
  <si>
    <t>P2, P4, P25, P30, P49, P51</t>
  </si>
  <si>
    <t>METEOR</t>
  </si>
  <si>
    <t>P2, P4, P25, P30, P46, P50</t>
  </si>
  <si>
    <t>ROUGE-L</t>
  </si>
  <si>
    <t>P2, P4, P25, P30, P54</t>
  </si>
  <si>
    <t>AUC</t>
  </si>
  <si>
    <t>P5, P30, P43, P44</t>
  </si>
  <si>
    <t>BLEU-N</t>
  </si>
  <si>
    <t>P2, P4, P25, P30</t>
  </si>
  <si>
    <t>Top 10 Evaluation Metrics</t>
  </si>
  <si>
    <t>Dataset</t>
  </si>
  <si>
    <t>CC3M</t>
  </si>
  <si>
    <t>P22, P42, P53</t>
  </si>
  <si>
    <t>P37, P38, P56</t>
  </si>
  <si>
    <t>MIMIC-CXR</t>
  </si>
  <si>
    <t>P2, P30, P54</t>
  </si>
  <si>
    <t>MSRVTT-QA</t>
  </si>
  <si>
    <t>P3, P50, P52</t>
  </si>
  <si>
    <t>MSVD-QA</t>
  </si>
  <si>
    <t>P3, P49, P50</t>
  </si>
  <si>
    <t>Top 5 most used Datasets</t>
  </si>
  <si>
    <t>Database</t>
  </si>
  <si>
    <t>QA1</t>
  </si>
  <si>
    <t>QA2</t>
  </si>
  <si>
    <t>QA3</t>
  </si>
  <si>
    <t>QA4</t>
  </si>
  <si>
    <t>QA5</t>
  </si>
  <si>
    <t>QA6</t>
  </si>
  <si>
    <t>QA7</t>
  </si>
  <si>
    <t>Total</t>
  </si>
  <si>
    <t>Uses CNN/ViT-style visual feature extraction, FC alignment to the language model, and GPT-2 byte-level BPE tokenizer for text corpus construction.</t>
  </si>
  <si>
    <t>Treats each item as a multimodal entity. Text, visual/media, and user-feedback features are fused through cross-modal transformers, while category information is propagated through an item-category graph.</t>
  </si>
  <si>
    <t>Uses separate encoders for MIDI, audio, and text. MIDI is encoded into segment embeddings, text is encoded using a text encoder, and audio-text alignment is inherited through CLAP-style embedding space.</t>
  </si>
  <si>
    <t>Uses WordPiece tokenization for genomic variants, partitions 3D MRI into voxel patches, and splits wearable time-series into non-overlapping sub-window tokens.</t>
  </si>
  <si>
    <r>
      <t xml:space="preserve">Uses a </t>
    </r>
    <r>
      <rPr>
        <sz val="11"/>
        <color theme="1"/>
        <rFont val="Calibri"/>
        <family val="2"/>
        <scheme val="minor"/>
      </rPr>
      <t>query rewrite module, text encoder, CLIP-ViT vision encoder, image/text vector databases, and a learnable attention-weighted fusion parameter that changes focus between image and text depending on the query.</t>
    </r>
  </si>
  <si>
    <r>
      <t xml:space="preserve">Converts visual and text signals into tokens, then applies </t>
    </r>
    <r>
      <rPr>
        <sz val="11"/>
        <color theme="1"/>
        <rFont val="Calibri"/>
        <family val="2"/>
        <scheme val="minor"/>
      </rPr>
      <t>group-wise visual token selection and graph-based visual token aggregation, where visual tokens are treated as graph nodes and compressed into compact representations.</t>
    </r>
  </si>
  <si>
    <r>
      <t xml:space="preserve">Formulates image-to-text and text-to-image generation as sequence generation. Images and text are represented as </t>
    </r>
    <r>
      <rPr>
        <sz val="11"/>
        <color theme="1"/>
        <rFont val="Calibri"/>
        <family val="2"/>
        <scheme val="minor"/>
      </rPr>
      <t>unified token sequences, with two-level image representations: dense features for image-to-text and discrete features for text-to-image.</t>
    </r>
  </si>
  <si>
    <r>
      <t xml:space="preserve">Visual template/search regions are passed through </t>
    </r>
    <r>
      <rPr>
        <sz val="11"/>
        <color theme="1"/>
        <rFont val="Calibri"/>
        <family val="2"/>
        <scheme val="minor"/>
      </rPr>
      <t>patch embedding, while language is processed by a text tokenizer. Tokens are aligned, then language is injected into visual embeddings through modal mixup before a unified transformer backbone.</t>
    </r>
  </si>
  <si>
    <r>
      <t xml:space="preserve">Uses a global question-aware retriever with ViT and text encoder. The paper explicitly states that it treats </t>
    </r>
    <r>
      <rPr>
        <sz val="11"/>
        <color theme="1"/>
        <rFont val="Calibri"/>
        <family val="2"/>
        <scheme val="minor"/>
      </rPr>
      <t>ViT as an image tokenizer of the text encoder, enabling the text model to recognize image tokens.</t>
    </r>
  </si>
  <si>
    <t>Uses BLIP-2 query transformer with learnable query embeddings for image features, WordPiece tokenization for text, OPT vocabulary mapping, text/image mapping layers, and multimodal contrastive alignment before attentive fusion.</t>
  </si>
  <si>
    <r>
      <t xml:space="preserve">Uses </t>
    </r>
    <r>
      <rPr>
        <sz val="11"/>
        <color theme="1"/>
        <rFont val="Calibri"/>
        <family val="2"/>
        <scheme val="minor"/>
      </rPr>
      <t>ViT and QFormer for image feature extraction, aligns visual features with a language model through an FC layer, and uses GPT-2 byte-level BPE for text corpus tokenization.</t>
    </r>
  </si>
  <si>
    <r>
      <t xml:space="preserve">Video is divided into </t>
    </r>
    <r>
      <rPr>
        <sz val="11"/>
        <color theme="1"/>
        <rFont val="Calibri"/>
        <family val="2"/>
        <scheme val="minor"/>
      </rPr>
      <t>16×16×2 video patches using a video tokenizer based on 3D convolutions; audio uses log-Mel spectrogram features; text is encoded using BERT-style text tokens. Pivot fusion tokens are then used for compact multimodal interaction.</t>
    </r>
  </si>
  <si>
    <r>
      <t xml:space="preserve">Text is tokenized using </t>
    </r>
    <r>
      <rPr>
        <sz val="11"/>
        <color theme="1"/>
        <rFont val="Calibri"/>
        <family val="2"/>
        <scheme val="minor"/>
      </rPr>
      <t>lower-cased BPE with special tokens, while images are divided into visual patches with positional information and a [CLS] token. It also uses bi-directional masked modeling for text and visual token reconstruction.</t>
    </r>
  </si>
  <si>
    <r>
      <t xml:space="preserve">Text uses lower-cased </t>
    </r>
    <r>
      <rPr>
        <sz val="11"/>
        <color theme="1"/>
        <rFont val="Calibri"/>
        <family val="2"/>
        <scheme val="minor"/>
      </rPr>
      <t>BPE tokenizer; video frames are encoded with CLIP-ViT. The core innovation is a text-guided object detector and object encoder that generates box tokens/object embeddings from bounding boxes and frame features.</t>
    </r>
  </si>
  <si>
    <r>
      <t xml:space="preserve">Uses dual visual encoders: </t>
    </r>
    <r>
      <rPr>
        <sz val="11"/>
        <color theme="1"/>
        <rFont val="Calibri"/>
        <family val="2"/>
        <scheme val="minor"/>
      </rPr>
      <t>ResNet for fine-grained spatial frame features and I3D for spatio-temporal features. Temporal encoders with 1D convolution and max pooling reduce the frame sequence to T/4, then features are aligned with mBART text embeddings.</t>
    </r>
  </si>
  <si>
    <r>
      <t xml:space="preserve">Uses an image encoder composed of </t>
    </r>
    <r>
      <rPr>
        <sz val="11"/>
        <color theme="1"/>
        <rFont val="Calibri"/>
        <family val="2"/>
        <scheme val="minor"/>
      </rPr>
      <t>TPS normalization, ResNet, and Transformer encoder to convert text images into image feature sequences. Text sentences are encoded through a Transformer text encoder, and intra-/inter-modal contrastive learning aligns image and text features.</t>
    </r>
  </si>
  <si>
    <r>
      <t xml:space="preserve">Combines </t>
    </r>
    <r>
      <rPr>
        <sz val="11"/>
        <color theme="1"/>
        <rFont val="Calibri"/>
        <family val="2"/>
        <scheme val="minor"/>
      </rPr>
      <t>BERT and CLIP, uses image embeddings, text embeddings, masked language modeling, and visual prompts as learnable task-specific placeholders to guide visual interpretation and multimodal KG embedding.</t>
    </r>
  </si>
  <si>
    <r>
      <t xml:space="preserve">Raw time series are processed by a </t>
    </r>
    <r>
      <rPr>
        <sz val="11"/>
        <color theme="1"/>
        <rFont val="Calibri"/>
        <family val="2"/>
        <scheme val="minor"/>
      </rPr>
      <t>patch encoder into compact embeddings, while descriptive statistics are converted into text prompts and fed into a frozen GPT-2 with learnable prompts. The two branches are scaled and contrastively aligned.</t>
    </r>
  </si>
  <si>
    <r>
      <t xml:space="preserve">Uses </t>
    </r>
    <r>
      <rPr>
        <sz val="11"/>
        <color theme="1"/>
        <rFont val="Calibri"/>
        <family val="2"/>
        <scheme val="minor"/>
      </rPr>
      <t>modality prompt pools, modality-aligned text encoders, LLM-generated text data, and prompt learning for image/video/audio classification. At testing, modality encoders compare input features with learned modality-specific prompt pools.</t>
    </r>
  </si>
  <si>
    <t>Uses intra-image and inter-image attention over CXR representations, then injects disease-probability priors from a classifier to guide multimodal reasoning.</t>
  </si>
  <si>
    <t>Uses WSI patch extraction/feature encoding and genomic representation learning, enhanced by semantic priors such as lesion annotations and differentially expressed genes, followed by contrastive semantic alignment.</t>
  </si>
  <si>
    <t>Uses a dual-tower speech-text architecture to align acoustic and textual representations during encoding, with two-stage training for semantic-aware acoustic representations.</t>
  </si>
  <si>
    <t>Uses ViT for visual patch representations and ClinicalBERT for report text tokens, then applies self-attention and bidirectional cross-attention for fine-grained image-text fusion.</t>
  </si>
  <si>
    <r>
      <t xml:space="preserve">Uses a </t>
    </r>
    <r>
      <rPr>
        <sz val="11"/>
        <color theme="1"/>
        <rFont val="Calibri"/>
        <family val="2"/>
        <scheme val="minor"/>
      </rPr>
      <t>3D VQ-VAE to discretize continuous 3D shapes into shape tokens/shape words, then organizes them into “word–sentence–paragraph” structures aligned with language instructions.</t>
    </r>
  </si>
  <si>
    <r>
      <t xml:space="preserve">Introduces </t>
    </r>
    <r>
      <rPr>
        <sz val="11"/>
        <color theme="1"/>
        <rFont val="Calibri"/>
        <family val="2"/>
        <scheme val="minor"/>
      </rPr>
      <t>Finite Discrete Tokens (FDT), a shared set of learnable discrete semantic tokens used by both image and text representations.</t>
    </r>
  </si>
  <si>
    <r>
      <t xml:space="preserve">Uses modality-dependent preprocessing modules but trains the model with </t>
    </r>
    <r>
      <rPr>
        <sz val="11"/>
        <color theme="1"/>
        <rFont val="Calibri"/>
        <family val="2"/>
        <scheme val="minor"/>
      </rPr>
      <t>unified masked prediction over unified tokens produced by a proposed unified tokenizer.</t>
    </r>
  </si>
  <si>
    <r>
      <t xml:space="preserve">Uses </t>
    </r>
    <r>
      <rPr>
        <sz val="11"/>
        <color theme="1"/>
        <rFont val="Calibri"/>
        <family val="2"/>
        <scheme val="minor"/>
      </rPr>
      <t>multi-modal prompt token sets, patch-level prompt alignment, and optimal transport/Sinkhorn attention to align visual and textual prompt distributions for segmentation.</t>
    </r>
  </si>
  <si>
    <r>
      <t xml:space="preserve">Uses modality-specific neural encoders and </t>
    </r>
    <r>
      <rPr>
        <sz val="11"/>
        <color theme="1"/>
        <rFont val="Calibri"/>
        <family val="2"/>
        <scheme val="minor"/>
      </rPr>
      <t>modality-specific tokens that summarize each modality before transformer-based cross-modal fusion and contrastive learning.</t>
    </r>
  </si>
  <si>
    <r>
      <t xml:space="preserve">Proposes hierarchical cross-modality attention distillation, aligning </t>
    </r>
    <r>
      <rPr>
        <sz val="11"/>
        <color theme="1"/>
        <rFont val="Calibri"/>
        <family val="2"/>
        <scheme val="minor"/>
      </rPr>
      <t>object–word local features and scene–sentence global features.</t>
    </r>
  </si>
  <si>
    <t>Uses CLIP-based visual-textual feature extraction, news-oriented heterogeneous information network features, and cross-modal semantic alignment.</t>
  </si>
  <si>
    <t>Uses modality-specific encoders, attention-based fusion, and multi-loss optimization to build a unified semantic embedding space for multimodal retrieval.</t>
  </si>
  <si>
    <t>Uses shared feature learning, self-attention masks, transformer-based cross-modal feature interaction, and multimodal contrastive learning to map text and image features into a unified semantic space.</t>
  </si>
  <si>
    <t>Extracts textual and visual features at multiple granularities using pre-trained models, then applies cross-modal alignment, text-visual co-attention, multi-head self-attention, and contrastive learning.</t>
  </si>
  <si>
    <t>Uses separate visual and text encoders with a fusion module, trained through masked image modeling, masked language modeling, image-text matching, and image-text contrastive learning.</t>
  </si>
  <si>
    <t>Converts multimodal affective inputs into a continuous VAD emotion space, then uses this emotion representation to guide symbolic MIDI-based music generation.</t>
  </si>
  <si>
    <t>Uses a pseudo-alignment algorithm for unaligned multimodal inputs, a multimodal data interaction process, and reinforcement-learning-based emotion detection.</t>
  </si>
  <si>
    <t>Uses CLIP-inspired contrastive learning to learn encoders for five sensor modalities and compress high-dimensional sensor streams into low-dimensional representation spaces.</t>
  </si>
  <si>
    <r>
      <t xml:space="preserve">Treats mixed land-use detection as an </t>
    </r>
    <r>
      <rPr>
        <sz val="11"/>
        <color theme="1"/>
        <rFont val="Calibri"/>
        <family val="2"/>
        <scheme val="minor"/>
      </rPr>
      <t>NLVR-style vision-language reasoning task, where street-view image representations are compared with spatial context-aware prompt descriptions.</t>
    </r>
  </si>
  <si>
    <r>
      <t xml:space="preserve">Tokenizes images, text, and videos into a </t>
    </r>
    <r>
      <rPr>
        <sz val="11"/>
        <color theme="1"/>
        <rFont val="Calibri"/>
        <family val="2"/>
        <scheme val="minor"/>
      </rPr>
      <t>discrete representation space and trains a single decoder-only transformer using next-token prediction. It also provides a vision tokenizer for images and videos.</t>
    </r>
  </si>
  <si>
    <t>Uses adaptive image processing, multiperspective feature pyramids, factorized 2D positional encoding, and a shared embedding space for fine-grained vision-language alignment.</t>
  </si>
  <si>
    <t>Uses text tokenization and image normalization, then extracts textual embeddings through a Graph-Enhanced Transformer and visual embeddings through CLIP, followed by graph-based cross-modal attention and cognitive mapping.</t>
  </si>
  <si>
    <t>Uses pixel-grounded face part masks, grounded captions, referring segmentation, grounded QA, and fine-grained face-region annotations.</t>
  </si>
  <si>
    <t>Uses multi-granularity visual inputs: low-resolution image features, high-resolution visual features, and object-level features extracted from bounding boxes using offline detectors. Object-level region features are appended as visual tokens.</t>
  </si>
  <si>
    <t>Uses modality-specific encoders and connectors to map different modalities into a unified multimodal representation, with sparse MoE experts inside the LLM.</t>
  </si>
  <si>
    <r>
      <t xml:space="preserve">Proposes </t>
    </r>
    <r>
      <rPr>
        <sz val="11"/>
        <color theme="1"/>
        <rFont val="Calibri"/>
        <family val="2"/>
        <scheme val="minor"/>
      </rPr>
      <t>Harmonizer, a universal tokenization framework that converts heterogeneous signals into discrete tokens using a Fusion-Quantizer architecture, FluxFormer, STFT spectral decomposition, Hilbert transform, and vector vocabulary construction.</t>
    </r>
  </si>
  <si>
    <r>
      <t xml:space="preserve">Proposes a </t>
    </r>
    <r>
      <rPr>
        <sz val="11"/>
        <color theme="1"/>
        <rFont val="Calibri"/>
        <family val="2"/>
        <scheme val="minor"/>
      </rPr>
      <t>multimodal tokenizer using mixture-of-quantization, modality-specific and modality-shared experts, semantic IDs, and behavior-aware fine-tuning.</t>
    </r>
  </si>
  <si>
    <r>
      <t xml:space="preserve">Introduces a Modular QCB-Learner. It uses RealNVP for continuous representations, </t>
    </r>
    <r>
      <rPr>
        <sz val="11"/>
        <color theme="1"/>
        <rFont val="Calibri"/>
        <family val="2"/>
        <scheme val="minor"/>
      </rPr>
      <t>vector quantization for discrete representations, and nonlinear transformations for binary representations.</t>
    </r>
  </si>
  <si>
    <r>
      <t xml:space="preserve">Proposes </t>
    </r>
    <r>
      <rPr>
        <sz val="11"/>
        <color theme="1"/>
        <rFont val="Calibri"/>
        <family val="2"/>
        <scheme val="minor"/>
      </rPr>
      <t>TokenFlow, a unified image tokenizer with a dual-codebook architecture that separates semantic and pixel-level visual features while aligning them through shared indices.</t>
    </r>
  </si>
  <si>
    <r>
      <t xml:space="preserve">Uses language-aligned positional embedding and a </t>
    </r>
    <r>
      <rPr>
        <sz val="11"/>
        <color theme="1"/>
        <rFont val="Calibri"/>
        <family val="2"/>
        <scheme val="minor"/>
      </rPr>
      <t>Spatial-Temporal Packer that decouples temporal and spatial feature compression through point-to-region attention streams.</t>
    </r>
  </si>
  <si>
    <t>Uses emotion-specific encoders: HuBERT for audio, multiview visual encoders for facial details/dynamics/context, and a modified LLaMA for instruction-based emotion reasoning.</t>
  </si>
  <si>
    <t>Extracts features using CNN with multiplicative LSTM, fuses video-audio and text-audio features, and uses YOLOv6 for facial feature/expression detection in videos.</t>
  </si>
  <si>
    <t>Uses an MLLM-based end-to-end architecture to align heterogeneous product presentations and identify same-product pairs, replacing manual feature extraction and rule-based matching.</t>
  </si>
  <si>
    <t>Constructs heterogeneous dialogue graphs capturing syntactic dependencies, speaker turns, reply flow, semantic roles, and sentiment propagation paths. These graph features are injected into the LLM embedding layer with aligned multimodal utterance features.</t>
  </si>
  <si>
    <r>
      <t xml:space="preserve">Uses modality-specific tokenizers to convert speech, images, and music into </t>
    </r>
    <r>
      <rPr>
        <sz val="11"/>
        <color theme="1"/>
        <rFont val="Calibri"/>
        <family val="2"/>
        <scheme val="minor"/>
      </rPr>
      <t>discrete semantic tokens, then processes all modalities autoregressively in a unified LLM sequence.</t>
    </r>
  </si>
  <si>
    <r>
      <t xml:space="preserve">Separates time-aligned modalities from contextual modalities. Video and audio are partitioned into snippets and compressed through a </t>
    </r>
    <r>
      <rPr>
        <sz val="11"/>
        <color theme="1"/>
        <rFont val="Calibri"/>
        <family val="2"/>
        <scheme val="minor"/>
      </rPr>
      <t>Combiner mechanism into compact autoregressive representations.</t>
    </r>
  </si>
  <si>
    <r>
      <t xml:space="preserve">Uses masked visual modeling for video-text retrieval. A snapshot video encoder acts as an evolving </t>
    </r>
    <r>
      <rPr>
        <sz val="11"/>
        <color theme="1"/>
        <rFont val="Calibri"/>
        <family val="2"/>
        <scheme val="minor"/>
      </rPr>
      <t>visual tokenizer to produce language-aligned reconstruction targets for masked video patches.</t>
    </r>
  </si>
  <si>
    <r>
      <t xml:space="preserve">Uses a multi-level feature alignment module with an </t>
    </r>
    <r>
      <rPr>
        <sz val="11"/>
        <color theme="1"/>
        <rFont val="Calibri"/>
        <family val="2"/>
        <scheme val="minor"/>
      </rPr>
      <t>attention-based token selector and context merger to align visual features from low-level recognition to high-level semantic reasoning.</t>
    </r>
  </si>
  <si>
    <t>Tokenization strategy/technique used</t>
  </si>
  <si>
    <t>Tokenization approach used</t>
  </si>
  <si>
    <t>P8, P14, P29, P46, P48</t>
  </si>
  <si>
    <t>P3, P10, P12, P15, P19, P50, P52, P53</t>
  </si>
  <si>
    <t>P21, P22, P23, P40, P41, P43, P45, P47, P51</t>
  </si>
  <si>
    <t>P2, P5, P6, P17, P20, P24, P31, P37, P54</t>
  </si>
  <si>
    <t>P1, P4, P7, P9, P11, P13, P16, P18, P25, P26, P27, P28, P30, P32, P33, P34, P35, P36, P38, P39, P42, P44, P49, P55, P56, P57, P58</t>
  </si>
  <si>
    <t>Continuous Tokenization</t>
  </si>
  <si>
    <t>Patchification</t>
  </si>
  <si>
    <t>VNU University of Engineering and Technology</t>
  </si>
  <si>
    <t>This study presents a Multimodal Emotion-guided Music Generation Model (MEMGM) that directly translates multimodal affective states into instrumental music. Unlike prior approaches relying on textual intermediaries or discrete categories, MEMGM integrates facial expressions, speech prosody, and ECG-derived heart signals into a continuous valence-arousal-dominance (VAD) space for fine-grained emotion representation. A new MIDI-based dataset with continuous VAD annotations is constructed, enabling controllable manipulation of musical elements and nuanced mapping of emotional dynamics. The framework combines a cross-modal Transformer, multimodal BiLSTM, and gating block for robust affective recognition, followed by a plug-and-play generation module enhanced with supervised contrastive learning to ensure intra- and inter-modal consistency. Experimental results demonstrate superior performance in both emotion recognition and music generation compared to state-of-the-art baselines. Subjective evaluations confirm that the generated music aligns closely with usersâ€™ perceived emotions. The main contributions are: (1) an end-to-end pathway from multimodal signals to music without textual intermediaries, (2) a VAD-annotated MIDI dataset for expressive generation, and (3) a contrastive learning strategy that enhances affective alignment across modalities.</t>
  </si>
  <si>
    <t>Dominant pre-training work for video-text retrieval mainly adopt the â€œdual-encoderâ€ architectures to enable efficient retrieval, where two separate encoders are used to contrast global video and text representations, but ignore detailed local semantics. The recent success of image BERT pre-training with masked visual modeling that promotes the learning of local visual context, motivates a possible solution to address the above limitation. In this work, we for the first time investigate masked visual modeling in video-text pre-training with the dual-encoderarchitecture. We perform Masked visual modeling with Injected Language Semantics (MILES) by employing an extra snapshot video encoder as an evolving â€œtokenizerto produce reconstruction targets for masked video patch prediction. Given the corrupted video, the video encoder is trained to recover text-aligned features of the masked patches via reasoning with the visible regions along the spatial and temporal dimensions, which enhances the discriminativeness of local visual features and the fine-grained cross-modality alignment. Our method outperforms state-of-the-art methods for text-to-video retrieval on four datasets with both zero-shot and fine-tune evaluation protocols. Our approach also surpasses the baseline models significantly on zero-shot action recognition, which can be cast as video-to-text retrieval.</t>
  </si>
  <si>
    <t>The automatic detection of multimodal fake news has recently garnered significant attention. However, the existing detection methods mainly focus on merging textual and visual features, but fail to make full use of multimodal numbers from the perspective of multi-granularity. Additionally, emerging pre-trained multimodal learning models and powerful contrastive learning methodologies remain underutilized in this domain. To address these challenges, we introduce a multimodal fake news detection framework (FMC) that integrates multi-granularity feature fusion with contrastive learning. Initially, FMC utilizes a range of pre-trained models to extract textual and visual features at various levels of granularity. Subsequently, a multi-granularity fused multimodal news representation is created through cross-modal alignment and textual-visual co-attention . The final step involves classifying the news as true or fake, leveraging a combination of multi-head self-attention mechanisms and a contrastive learning auxiliary task. This contrastive learning auxiliary task specifically aims to minimize the distance between similar news representations that share the same label in the multimodal feature space, and maximize the distance between representations of differing labels. Comprehensive experiments conducted on three real-world datasets have demonstrated the superior effectiveness of our proposed framework, significantly surpassing the performance of current state-of-the-art methods.</t>
  </si>
  <si>
    <t>Clinical follow-up assessment using chest X-rays (CXRs) requires radiologists to interpret both individual images and, crucially, the temporal progression of pathologies between baseline and followâ€“up examinations. To address this challenging task of follow-up medical visual question answering (MVQA), we proposed DoKE, domain knowledge-enhanced multimodal framework, which integrated two core innovations: (1) an intra- and inter-image extraction module (IIIE), which employed a two-stream architecture with intra- and inter-image self-attention to first enhance salient regions within each CXR and then explicitly model semantic correspondences and progression-related differences across the image pair; and (2) a domain knowledge enhancement scheme (DKE) that injected structured diagnostic prior, disease probabilities from a classifier covering tail-end pathologies, to guide the visual representation learning. Extensive experiments on the MIMIC-Diff-VQA benchmark demonstrated that DoKE outperformed prior state-of-the-art methods across key clinical accuracy metrics. By synergistically combining explicit difference learning with diagnostic-prior, DoKE provided a powerful and pragmatic approach to automated follow-up CXR interpretation.</t>
  </si>
  <si>
    <t>Metric</t>
  </si>
  <si>
    <t>Evaluation metrics</t>
  </si>
  <si>
    <t>Single</t>
  </si>
  <si>
    <t>Category</t>
  </si>
  <si>
    <t>Reviewer 1</t>
  </si>
  <si>
    <t>Reviewer 2</t>
  </si>
  <si>
    <t>Average QA Score</t>
  </si>
  <si>
    <t>R1\R2</t>
  </si>
  <si>
    <t>Observed and Expected Agreement Matrices for Total QA Scores</t>
  </si>
  <si>
    <t>Row Total</t>
  </si>
  <si>
    <t>Column Total</t>
  </si>
  <si>
    <t>Agreement statistic</t>
  </si>
  <si>
    <t>Observed exact agreement</t>
  </si>
  <si>
    <t>Expected chance agreement</t>
  </si>
  <si>
    <t>Observed weighted disagreement</t>
  </si>
  <si>
    <t>Expected weighted disagreement</t>
  </si>
  <si>
    <t>Cohen's kappa (unweighted)</t>
  </si>
  <si>
    <t>Quadratic-weighted Cohen's kappa</t>
  </si>
  <si>
    <t>Result</t>
  </si>
  <si>
    <t>Absolute Difference</t>
  </si>
  <si>
    <t>ICC(2,1) Two-Way Random, Absolute Agreement</t>
  </si>
  <si>
    <t>ICC component</t>
  </si>
  <si>
    <t>Number of papers (n)</t>
  </si>
  <si>
    <t>Number of reviewers (k)</t>
  </si>
  <si>
    <t>Grand mean</t>
  </si>
  <si>
    <t>Reviewer 1 mean</t>
  </si>
  <si>
    <t>Reviewer 2 mean</t>
  </si>
  <si>
    <t>Between-paper mean square (MSR)</t>
  </si>
  <si>
    <t>Between-reviewer mean square (MSC)</t>
  </si>
  <si>
    <t>Residual mean square (MSE)</t>
  </si>
  <si>
    <t>Numerator (MSR - MSE)</t>
  </si>
  <si>
    <t>Denominator</t>
  </si>
  <si>
    <t>ICC(2,1)</t>
  </si>
  <si>
    <t>Inter-Rater Reliability Summary</t>
  </si>
  <si>
    <t>Exact percent agreement</t>
  </si>
  <si>
    <t>ICC(2,1), absolute agreement</t>
  </si>
  <si>
    <t>Pearson correlation (r)</t>
  </si>
  <si>
    <t>Reviewer 1 standard deviation</t>
  </si>
  <si>
    <t>Reviewer 2 standard deviation</t>
  </si>
  <si>
    <t>Statistic</t>
  </si>
  <si>
    <t>Interpretation</t>
  </si>
  <si>
    <t>Data level</t>
  </si>
  <si>
    <t>Average total QA score of reviewer 1</t>
  </si>
  <si>
    <t>Average total QA score of reviewer 2</t>
  </si>
  <si>
    <t>Dispersion of total QA scores of reviewer 1</t>
  </si>
  <si>
    <t>Dispersion of total QA scores of reviewer 2</t>
  </si>
  <si>
    <t>58 paper total scores</t>
  </si>
  <si>
    <t>406 paired QA ratings</t>
  </si>
  <si>
    <t>Almost perfect agreement</t>
  </si>
  <si>
    <t>Substantial agreement</t>
  </si>
  <si>
    <t>Strong consistency</t>
  </si>
  <si>
    <t>Good reliability</t>
  </si>
  <si>
    <t>Classification Metrics</t>
  </si>
  <si>
    <t>Generation Metrics</t>
  </si>
  <si>
    <t>Classification Metrics; Benchmark Metrics</t>
  </si>
  <si>
    <t>Classification Metrics; Others: Tracking/localization metrics</t>
  </si>
  <si>
    <t>Classification Metrics; Ranking Metrics</t>
  </si>
  <si>
    <t>Ranking Metrics</t>
  </si>
  <si>
    <t>Classification Metrics; Ranking Metrics; Generation Metrics; Others: Completeness evaluation</t>
  </si>
  <si>
    <t>Classification Metrics; Regression Metrics; Similarity Metrics</t>
  </si>
  <si>
    <t>Generation Metrics; Recognition Error Metrics; Efficiency Metrics</t>
  </si>
  <si>
    <t>Regression Metrics; Efficiency Metrics</t>
  </si>
  <si>
    <t>Recognition Error Metrics</t>
  </si>
  <si>
    <t>Others: Segmentation metrics</t>
  </si>
  <si>
    <t>Generation Metrics; Classification Metrics; Ranking Metrics</t>
  </si>
  <si>
    <t>Ranking Metrics; Others: Robustness and interpretability metrics</t>
  </si>
  <si>
    <t>Generation Metrics; Ranking Metrics; Classification Metrics</t>
  </si>
  <si>
    <t>Similarity Metrics; Others: Domain-specific matching index</t>
  </si>
  <si>
    <t>Ranking Metrics; Classification Metrics</t>
  </si>
  <si>
    <t>Classification Metrics; Others: Music/emotion quality metrics</t>
  </si>
  <si>
    <t>Regression Metrics; Similarity Metrics; Reconstruction Metrics</t>
  </si>
  <si>
    <t>Generation Metrics; Others: Segmentation/detection metrics</t>
  </si>
  <si>
    <t>Benchmark Metrics</t>
  </si>
  <si>
    <t>Classification Metrics; Generation Metrics</t>
  </si>
  <si>
    <t>Generation Metrics; Similarity Metrics; Recognition Error Metrics</t>
  </si>
  <si>
    <t>Generation Metrics; Similarity Metrics; Benchmark Metrics</t>
  </si>
  <si>
    <t>Metric Category</t>
  </si>
  <si>
    <t>P4, P6, P8, P9, P10, P11, P13, P14, P17, P20, P22, P25, P29, P30, P33, P42, P43, P50, P53, P57</t>
  </si>
  <si>
    <t>Similarity Metrics</t>
  </si>
  <si>
    <t>Reconstruction Metrics</t>
  </si>
  <si>
    <t>Regression Metrics</t>
  </si>
  <si>
    <t>Efficiency Metrics</t>
  </si>
  <si>
    <t>P16, P19, P42</t>
  </si>
  <si>
    <t>P16, P23, P27, P51</t>
  </si>
  <si>
    <t>Others</t>
  </si>
  <si>
    <t>Metrics Category</t>
  </si>
  <si>
    <t>P1, P3, P5, P6, P7, P10, P11, P12, P18, P20, P21, P22, P25, P26, P28, P30, P32, P33, P34, P35, P36, P37, P38, P39, P42, P43, P44, P49, P50, P53, P55, P56, P57</t>
  </si>
  <si>
    <t>P12, P19, P39, P41, P45</t>
  </si>
  <si>
    <t>P21, P41, P43, P45, P47</t>
  </si>
  <si>
    <t>P2, P4, P11, P15, P16, P21, P25, P30, P40, P42, P46, P49, P50, P51, P54</t>
  </si>
  <si>
    <t>P5, P11, P21, P24, P29, P31, P37, P43, P45, P46, P50, P58</t>
  </si>
  <si>
    <t>P4, P12, P21, P31, P41, P45, P51, P54</t>
  </si>
  <si>
    <t>P3, P40, P42, P48, P52, P54</t>
  </si>
  <si>
    <t>Generation Metrics; Ranking Metrics; Similarity Metrics</t>
  </si>
  <si>
    <t>Others: 3D overlap and human preference metrics; Reconstruction Metrics; Classification Metrics; Generation Metrics; Similarity Metrics</t>
  </si>
  <si>
    <t>Classification Metrics; Regression Metrics</t>
  </si>
  <si>
    <t>Generation Metrics; Benchmark Metrics</t>
  </si>
  <si>
    <t>Classification Metrics; Benchmark Metrics; Generation Metrics; Ranking Metrics; Efficiency Metrics</t>
  </si>
  <si>
    <t>Reconstruction Metrics; Others: Tokenization/codebook quality metrics; Ranking Metrics; Classification Metrics</t>
  </si>
  <si>
    <t>Regression Metrics; Similarity Metrics; Others: Distributional divergence metrics; Reconstruction Metrics</t>
  </si>
  <si>
    <t>Others: Spatial-temporal localization/grounding metrics; Generation Metrics; Classification Metrics; Ranking Metrics</t>
  </si>
  <si>
    <t>Others: Structured prediction/information extraction metrics</t>
  </si>
  <si>
    <t>Accuracy; Problem-solving accuracy; Zero-shot accuracy; Top-1/5 accuracy; Precision; Recall; F1-score; Macro-F1; Micro-F1; MacF1; EM / Exact Match; AUC; AUROC; AUPRC; MCC; GAUC; CVR; WAF; UAR; WAR; AvgWA; Wacc</t>
  </si>
  <si>
    <t>Recall@K; NDCG; NDCG@N; MRR; mAP; Rank-N; Hits@K; Mean Rank; MdR; MedR; MnR; R-precision; Retrieval accuracy; Retrieval</t>
  </si>
  <si>
    <t>CLIPScore; Cosine Similarity; Correlation Coefficient; PCC; Sentence Similarity; SIM; ULIP; Degree of Matching; DTW; MFCC similarity</t>
  </si>
  <si>
    <t>BLEU; BLEU-N; BLEU@N; METEOR; ROUGE; ROUGE-L; CIDEr; SPICE; BLEURT; FID; P-FID; Knowledge Generation Score</t>
  </si>
  <si>
    <t>Capability Score; Benchmark Score; Spatial Cognition Score; Benchmark accuracy; VLMEvalKit; GenEval; CompBench; GPT-API</t>
  </si>
  <si>
    <t>MSE; MAE; RMSE; MAPE; R²; PMSE; Loss value</t>
  </si>
  <si>
    <t>Decoding speed; Amount of trainable parameters; Trainable Parameter; Inference Time</t>
  </si>
  <si>
    <t>Reconstruction Loss; Chamfer Distance; rFID; PSNR; SSIM; DSSIM; Spectral Convergence; SNR; LSD</t>
  </si>
  <si>
    <t>WER; CER</t>
  </si>
  <si>
    <t>Normalized Precision; Completeness; IoU; mIoU; hIoU; mask AP; mask IoU; Average DI; Polyphony Rate; Pitch Entropy; Groove Consistency; Emotion Matching; Codebook Utilization; Token Distribution Entropy; JS Divergence; Wasserstein Distance; KL Divergence; NMI; tIoU; mtIoU; sIoU; msIoU; REC; Element-level F1; Pair-level F1; Sextuple F1; Exact-match F1; Flipped Sentiment and Trigger</t>
  </si>
  <si>
    <t>Metrics</t>
  </si>
  <si>
    <t>Dataset category</t>
  </si>
  <si>
    <t>Task-specific Dataset</t>
  </si>
  <si>
    <t>Domain-specific Dataset</t>
  </si>
  <si>
    <t>Training-specific Dataset</t>
  </si>
  <si>
    <t>P1, P3, P4, P5, P6, P7, P9, P12, P13, P14, P15, P17, P20, P21, P24, P27, P33, P37, P38, P41, P44, P46, P49, P50, P52, P55, P56</t>
  </si>
  <si>
    <t>P2, P8, P10, P11, P18, P19, P25, P26, P28, P30, P31, P32, P34, P35, P36, P39, P43, P54, P58</t>
  </si>
  <si>
    <t>P16, P22, P23, P29, P40, P42, P45, P47, P48, P51, P53, P57</t>
  </si>
  <si>
    <t>SUMMARY</t>
  </si>
  <si>
    <t>Research Domain</t>
  </si>
  <si>
    <t>Encoder-Decoder architectures</t>
  </si>
  <si>
    <t>Tokemization Approach</t>
  </si>
  <si>
    <t>P22, P23, P40, P41, P43, P47</t>
  </si>
  <si>
    <t>P3, P5, P6, P13, P17, P18, P30, P36, P42, P53, P54</t>
  </si>
  <si>
    <t>P4, P9, P10, P12, P19, P21, P24, P25, P26, P32, P37, P45, P48, P50, P51, P52, P58</t>
  </si>
  <si>
    <t>P1, P2, P7, P8, P11, P14, P15, P16, P20, P27, P28, P29, P31, P33, P34, P35, P38, P39, P44, P46, P49, P55, P56, P57</t>
  </si>
  <si>
    <t>Tokenization Strategies/Techniques</t>
  </si>
  <si>
    <t>Uses continuous visual and textual feature embeddings projected into the MLLM semantic space.</t>
  </si>
  <si>
    <t>Converts medical images and clinical text into continuous encoder embeddings.</t>
  </si>
  <si>
    <t>Converts images/video frames into visual patch tokens.</t>
  </si>
  <si>
    <t>Combines dense continuous visual features with discrete clustered visual vocabulary.</t>
  </si>
  <si>
    <t>Divides template/search images into non-overlapping patches and projects them into visual tokens.</t>
  </si>
  <si>
    <t>Uses ViT-style image tokenization with text encoding for multimodal retrieval.</t>
  </si>
  <si>
    <t>Uses image-text feature extraction and normalized embedding alignment.</t>
  </si>
  <si>
    <t>Uses BLIP-derived text/image embeddings and user-feedback embeddings.</t>
  </si>
  <si>
    <t>Combines symbolic MIDI tokenization with continuous audio/text embeddings.</t>
  </si>
  <si>
    <t>Combines genomic variant tokens, MRI voxel/patch tokens, and biosignal temporal-window tokens.</t>
  </si>
  <si>
    <t>Uses CLIP/ViT/Q-Former-style continuous visual-language embeddings.</t>
  </si>
  <si>
    <t>Combines video patch tokens, log-Mel/audio-frame representations, and text tokens.</t>
  </si>
  <si>
    <t>Divides pedestrian images into patches and projects them into visual tokens.</t>
  </si>
  <si>
    <t>Uses CLIP video-frame embeddings and object-centric continuous embeddings.</t>
  </si>
  <si>
    <t>Encodes sign-language videos as continuous spatial-temporal feature sequences.</t>
  </si>
  <si>
    <t>Encodes text images and source sentences into continuous Transformer representations.</t>
  </si>
  <si>
    <t>Uses ViT-style image patch tokens with text WordPiece encoding.</t>
  </si>
  <si>
    <t>Uses BLIP-2/ViT image patch sequences.</t>
  </si>
  <si>
    <t>Combines time-series patch tokenization with textual prompt embeddings.</t>
  </si>
  <si>
    <t>Uses learned prompt vectors as modality surrogates rather than tokenizing raw modalities.</t>
  </si>
  <si>
    <t>Uses 3D VQ-VAE discrete shape tokens together with image/text representation pathways.</t>
  </si>
  <si>
    <t>Uses finite discrete tokens as shared visual-semantic units for image-text grounding.</t>
  </si>
  <si>
    <t>Uses clustered audio-visual hidden units as discrete speech/visual-speech units.</t>
  </si>
  <si>
    <t>Combines CLIP visual patch embeddings with learnable prompt tokens.</t>
  </si>
  <si>
    <t>Combines CXR patch tokens, question tokens, and disease-prior knowledge tokens.</t>
  </si>
  <si>
    <t>Combines whole-slide image patches with genomic/tabular molecular features.</t>
  </si>
  <si>
    <t>Uses continuous acoustic frame-level speech representations aligned with text.</t>
  </si>
  <si>
    <t>Uses continuous clinical time-series embeddings and ClinicalBERT note embeddings.</t>
  </si>
  <si>
    <t>Uses continuous image/text local-global feature embeddings.</t>
  </si>
  <si>
    <t>Uses ViT-Base/16 to partition chest X-rays into visual patch tokens.</t>
  </si>
  <si>
    <t>Uses CLIP-style street-view image and land-use prompt embeddings.</t>
  </si>
  <si>
    <t>Combines textual, visual, CLIP, and heterogeneous social-context graph representations.</t>
  </si>
  <si>
    <t>Uses ResNet, BERT, and audio encoder features projected into a shared embedding space.</t>
  </si>
  <si>
    <t>Uses continuous text-token embeddings and image-region embeddings.</t>
  </si>
  <si>
    <t>Uses CLIP, BERT, and ResNet continuous feature streams.</t>
  </si>
  <si>
    <t>Uses 16×16 ViT image patches with BERT-style text encoding.</t>
  </si>
  <si>
    <t>Combines continuous affective embeddings with symbolic MIDI representation.</t>
  </si>
  <si>
    <t>Uses continuous text, acoustic, and visual sequence features.</t>
  </si>
  <si>
    <t>Uses continuous contrastive sensor-stream embeddings.</t>
  </si>
  <si>
    <t>Uses discrete visual/video codebook tokens and unified next-token prediction for multimodal modeling.</t>
  </si>
  <si>
    <t>Harmonizer’s core tokenization is quantization-based: it builds a learned signal vocabulary through FusionQuantizer and residual–hierarchical vector quantization.</t>
  </si>
  <si>
    <t>Uses adaptive image scaling, hierarchical tiling, multiscale visual feature extraction, and visual token alignment.</t>
  </si>
  <si>
    <t>MMQ maps multimodal text/vision embeddings into discrete semantic IDs through multimodal quantization and codebook lookup.</t>
  </si>
  <si>
    <t>Uses Graph-Enhanced Transformer text embeddings and CLIP visual embeddings.</t>
  </si>
  <si>
    <t>Explicitly combines continuous, discrete VQ, and binary representation learning.</t>
  </si>
  <si>
    <t>Uses high-resolution face-region tokens, SAM features, and face-prior sampling without discrete codebook tokenization.</t>
  </si>
  <si>
    <t>TokenFlow uses a dual-codebook VQ image tokenizer with semantic and pixel-level codebooks sharing indices.</t>
  </si>
  <si>
    <t>Combines low-resolution visual tokens, high-resolution visual features, and object-region tokens.</t>
  </si>
  <si>
    <t>Uses modality-specific encoders and connectors to produce continuous soft tokens for image, video, audio, speech, and text.</t>
  </si>
  <si>
    <t>Combines continuous visual/video embeddings with symbolic spatial-temporal coordinate special tokens.</t>
  </si>
  <si>
    <t>AnyGPT combines SEED image tokens, SpeechTokenizer RVQ speech tokens, Encodec RVQ music tokens, and text tokens for unified discrete sequence modeling.</t>
  </si>
  <si>
    <t>Mirasol3B combines video spatio-temporal chunk/patch features, audio spectrogram features, and text-context modeling through a Combiner.</t>
  </si>
  <si>
    <t>MILES uses spatial-temporal video patch tokens and masked video patch prediction.</t>
  </si>
  <si>
    <t>MLeVLM uses ViT patch embeddings with attention-based token selection and context merging.</t>
  </si>
  <si>
    <t>Emotion-LLaMA projects HuBERT audio features and MAE/VideoMAE/EVA visual features into LLM embedding tokens.</t>
  </si>
  <si>
    <t>M-fusHER uses continuous log-Mel spectrogram chunks, facial-region features, text features, CNN-mLSTM encoders, and Transformer fusion.</t>
  </si>
  <si>
    <t>SaP-Bot uses end-to-end MLLM image-text representations for same-product identification without explicit quantized semantic IDs.</t>
  </si>
  <si>
    <t>SDG-MLLM combines continuous text/image/audio/video embeddings with heterogeneous dialogue graph feature injection.</t>
  </si>
  <si>
    <t>Continuous</t>
  </si>
  <si>
    <t>Hybrid</t>
  </si>
  <si>
    <t>Patchification Tokenization</t>
  </si>
  <si>
    <t>Discrete</t>
  </si>
  <si>
    <t>P3, P14, P24, P38, P41, P43</t>
  </si>
  <si>
    <t>Question Answering; Generation</t>
  </si>
  <si>
    <t>Model-Efficiency; Inference</t>
  </si>
  <si>
    <t>Tracking; Localization</t>
  </si>
  <si>
    <t>Question Answering; Reasoning</t>
  </si>
  <si>
    <t>Recognition; Alignment</t>
  </si>
  <si>
    <t>Retrieval; Classification</t>
  </si>
  <si>
    <t>Diagnosis; Retrieval</t>
  </si>
  <si>
    <t>Recognition; Generation</t>
  </si>
  <si>
    <t>Sentiment Analysis; Emotion-Analysis</t>
  </si>
  <si>
    <t>Retrieval; Identification</t>
  </si>
  <si>
    <t>Retrieval; Alignment</t>
  </si>
  <si>
    <t>Generation; Editing</t>
  </si>
  <si>
    <t>Matching; Retrieval</t>
  </si>
  <si>
    <t>Mapping; Classification</t>
  </si>
  <si>
    <t>Detection; Classification</t>
  </si>
  <si>
    <t>Reasoning; Problem-Solving</t>
  </si>
  <si>
    <t>Generation; Recognition</t>
  </si>
  <si>
    <t>Monitoring; Anomaly Detection</t>
  </si>
  <si>
    <t>Representation-Learning; Generation</t>
  </si>
  <si>
    <t>Tokenization; Representation-Learning</t>
  </si>
  <si>
    <t>Recommendation; Representation-Learning</t>
  </si>
  <si>
    <t>Understanding; Reasoning</t>
  </si>
  <si>
    <t>Grounding; Recognition</t>
  </si>
  <si>
    <t>Tokenization; Understanding; Generation</t>
  </si>
  <si>
    <t>Instruction-Tuning; Understanding</t>
  </si>
  <si>
    <t>Instruction-Following; Understanding</t>
  </si>
  <si>
    <t>Understanding; Grounding</t>
  </si>
  <si>
    <t>Conversation; Generation</t>
  </si>
  <si>
    <t>Multimodal-Modeling; Understanding</t>
  </si>
  <si>
    <t>Recognition; Reasoning</t>
  </si>
  <si>
    <t>Understanding; Recognition</t>
  </si>
  <si>
    <t>Task Category</t>
  </si>
  <si>
    <t>Challenges identified in the paper</t>
  </si>
  <si>
    <t>Large-Small Model Synergy with Multimodal Fine-Grained Heuristics for Knowledge-Based VQA identifies: (1) misaligned feature-representation spaces between small VLMs and MLLMs because of their different training paradigms; (2) divergent answer-prediction distributions between the two model types; (3) cases where MLLMs fail on questions that smaller VLMs answer correctly; and (4) existing large-small collaboration approaches do not establish end-to-end collaboration, limiting interaction and joint optimization.</t>
  </si>
  <si>
    <t>MIRA identifies: (1) insufficient retrieval may omit critical medical information; (2) excessive retrieval may introduce irrelevant or misleading information; (3) over-reliance on retrieved information can introduce factual errors; (4) MLLMs face hallucination, rigid reasoning, unimodal bias, difficulty interpreting subtle imaging findings, and difficulty with open-ended medical queries; (5) previous approaches are largely radiology-oriented and have difficulty generalizing to other medical domains; (6) existing approaches often decouple retrieval from reasoning, lack adaptive modality fusion, and rely on static databases.</t>
  </si>
  <si>
    <t>VISA identifies: (1) excessive numbers of visual tokens create substantial computational overhead during MLLM inference; (2) the problem becomes more severe with high-resolution images and video; (3) modifying image encoders/projectors for compression can require retraining the complete model; (4) directly pruning visual tokens inevitably loses visual information; (5) existing pruning approaches suffer substantial performance degradation at high compression ratios; and (6) feature-averaging token-merging methods can produce coarse representations that lose detailed visual information needed for tasks such as VQA.</t>
  </si>
  <si>
    <t>Unifying Multimodal Transformer for Bi-directional Image and Text Generation explicitly identifies two major challenges: (1) information loss caused by feature discretization, particularly harming image-to-text generation; and (2) error accumulation caused by cross-entropy training. Teacher forcing creates a mismatch between training and testing distributions—exposure bias—which causes prediction errors to accumulate at test time.</t>
  </si>
  <si>
    <t>All in One identifies: (1) separation of visual/language feature extraction and subsequent fusion prevents early multimodal interaction; (2) this limits object-background discrimination in complex cases such as similar distractors, occlusion, and extreme illumination; (3) heavy fusion models introduce computational inefficiency; and (4) large distribution discrepancies between visual and linguistic representations reduce learning efficiency.</t>
  </si>
  <si>
    <t>GMRAG identifies: (1) insufficient cross-modal information fusion in existing MMQA approaches; (2) weak global understanding of multi-hop questions, making systems susceptible to distractions introduced by intermediate reasoning steps; (3) modality-specific encoders limit cross-modal alignment and produce suboptimal retrieval; (4) joint image-text encoders may be distracted by intermediate sub-questions and fail to retrieve evidence relevant to the complete question; and (5) step-wise reasoning can propagate errors from intermediate answers.</t>
  </si>
  <si>
    <t>Multimodal Large Language Models for IoT Device Collaboration and Intelligent Design identifies: (1) the need for efficient real-time multimodal processing on embedded IoT devices; (2) application of VLMs in dynamic IoT environments requiring real-time decision-making remains underexplored; (3) existing approaches are predominantly retrieval-oriented and do not fully capture the complex, context-specific interactions required in IoT applications; and (4) domain-specific multimodal models for IoT remain at an early stage.</t>
  </si>
  <si>
    <t>Caro identifies: (1) difficulty obtaining large-scale, high-quality bundle datasets, especially for platforms newly introducing bundle services; (2) bundle construction becomes difficult when user-interaction data are sparse or new items lack historical engagement; (3) existing methods often concatenate text, visual, and feedback features without explicitly modelling their cross-modal relationships; and (4) existing methods overlook category-level semantics, which can lead to less coherent and contextually relevant bundles.</t>
  </si>
  <si>
    <t>Multimodal Contrastive Learning for Music with Incomplete Modalities identifies: (1) prior multimodal music studies predominantly align only two modalities rather than MIDI, audio, and text simultaneously; (2) there is limited availability of paired MIDI-audio datasets, preventing direct MIDI-audio contrastive learning; and (3) coincidentally co-occurring words in negative text samples can adversely affect contrastive learning.</t>
  </si>
  <si>
    <t>Rare Disease Phenotyping via Self-Supervised Multimodal Learning identifies the fragmentation of genomic, neuroimaging, and wearable-sensor analyses as a major challenge, causing potentially useful cross-modal relationships to be missed. It also highlights limited multimodal patient data and small medical sample sizes, together with limitations of earlier modality-specific approaches such as genomic models that ignore haplotype structure, 3-D imaging models lacking clinical context, and sensor-fusion methods lacking higher-level domain knowledge.</t>
  </si>
  <si>
    <t>A Multi-modal Interaction Approach to Enhance Natural Language Descriptions of Remote Sensing Images identifies that: (1) current VLMs primarily focus on relatively simple tasks, while their effectiveness in broader application scenarios remains unverified; (2) earlier image–text approaches are largely retrieval-oriented and have limitations when addressing more complex vision–language tasks; (3) deep image understanding and fine-grained image–text correlation modelling remain challenging; and (4) multimodal research specifically addressing the remote-sensing domain remains relatively sparse.</t>
  </si>
  <si>
    <t>AcFormer identifies: (1) heterogeneity and the unaligned nature of different modalities as significant obstacles to effective multimodal fusion; (2) visual and audio streams contain substantial spatiotemporal redundancy and irrelevant noise because modalities have different sampling rates; (3) misalignment between modality representations makes cross-modal interaction difficult; (4) existing fusion methods frequently disregard computational efficiency; (5) full pairwise cross-modal attention is computationally intensive and time-consuming, with quadratic complexity for clip-to-clip correlations; and (6) word-level hard alignment is time-consuming.</t>
  </si>
  <si>
    <t>Text-and-Image Learning Transformer for Cross-Modal Person Re-Identification identifies: (1) intra-modal variation and inter-modal heterogeneity as major challenges for accurate text-based person ReID; (2) multi-scale dual-path methods introduce high computational complexity and structural redundancy; (3) complex dual-path structures may be time-consuming and prone to overfitting; (4) previous approaches lack comprehensive cross-modal feature extraction and adequate fusion in a common space; (5) sensitivity to small textual variations causes textual/unimodal anisotropy; (6) insufficient interaction between visual and textual information adversely affects alignment; and (7) person ReID is affected by illumination variation, object occlusion, and background clutter.</t>
  </si>
  <si>
    <t>OFIA identifies: (1) precise video–text alignment remains unresolved because of the fundamental divergence between video and text latent spaces; (2) coarse-grained alignment overlooks detailed cross-modal information; (3) frame embeddings inevitably neglect many visual details; (4) individual patches capture only limited local information; (5) ViT patch representations are constrained by patch size and placement; (6) video frames contain numerous irrelevant patches, making alignment of all patches with text infeasible; (7) previous object-detection approaches fail to reliably detect and extract relevant objects; and (8) video frames contribute unequally to alignment, creating the challenge of less informative or insignificant frames.</t>
  </si>
  <si>
    <t>Contrastive Pretraining with Dual Visual Encoders for Gloss-Free Sign Language Translation identifies: (1) manual gloss annotation is costly, labor-intensive, and difficult to perform accurately; (2) few publicly available gloss-annotated datasets exist; (3) gloss annotations may fail to capture the full complexity of continuous signing; (4) eliminating gloss supervision makes learning rich and discriminative sign-language representations more difficult; (5) gloss-free approaches often exhibit weaker semantic grounding between visual features and linguistic outputs and therefore can underperform gloss-based systems; and (6) a substantial semantic gap exists between video features and textual tokens.</t>
  </si>
  <si>
    <t>Modal Contrastive Learning Based End-to-End Text Image Machine Translation identifies: (1) cascaded recognition-to-translation systems suffer from error propagation, parameter redundancy, and information reduction; (2) existing end-to-end TIMT approaches have performed worse than pipeline methods; (3) a substantial modality gap exists between text images and textual sentences; (4) data limitation is a major challenge because end-to-end systems require large-scale annotated datasets; (5) collecting large-scale TIMT data is extremely costly; (6) the absence of publicly available datasets specifically designed for TIMT restricts research and applications; and (7) diverse orientations of text in natural-scene images increase the difficulty of image feature encoding.</t>
  </si>
  <si>
    <t>Enhancing Multimodal Knowledge Graph Embeddings Using Visual Prompting in Language Models identifies that: (1) pretrained language models cannot adequately capture factual knowledge from text; (2) conventional knowledge-embedding models cannot effectively interpret abundant textual information; and (3) existing approaches for integrating entity knowledge into representations lack the flexibility required for multimodal data.</t>
  </si>
  <si>
    <t>Multimodal Large Language Model with LoRA Fine-Tuning for Multimodal Sentiment Analysis identifies: (1) limited labelled MSA data prevents supervised models from fully learning sentiment information across modalities; (2) expert annotation is time-consuming and laborious, while crowdsourcing may reduce annotation quality; (3) independently pretrained unimodal text and image encoders cannot adequately capture interactive information between modalities; (4) simple feature concatenation ignores alignment relationships between image and text; (5) discrepancy between pretraining tasks and sentiment-analysis tasks results in suboptimal predictions; and (6) full fine-tuning of pretrained models is costly and reduces model efficiency.</t>
  </si>
  <si>
    <t>BALM-TSF identifies: (1) semantic modality imbalance between text and time-series data; (2) LLMs are pretrained predominantly on textual data and consequently have weak numerical reasoning and difficulty capturing fine-grained quantitative fluctuations; (3) conventional LLM tokenizers inconsistently split numbers into subword tokens, producing sparse and discontinuous numerical representations; (4) directly processing time series through LLMs may result in text-dominant representations that underemphasize temporal dynamics; (5) separately encoded textual and temporal embeddings exhibit distributional imbalance; (6) higher-variance modalities may dominate gradient updates and degrade alignment; and (7) complex existing cross-modal alignment mechanisms can introduce excessive computational overhead.</t>
  </si>
  <si>
    <t>Text as Any-Modality for Zero-Shot Classification by Consistent Prompt Tuning identifies: (1) existing prompt-tuning methods depend heavily on large amounts of modality-specific labelled video, audio, or image data; (2) obtaining such labelled data requires substantial manual effort and methods may fail when labels are unavailable; (3) existing text-based alternatives require sophisticated text/visual prompt designs, adapter frameworks, and additional prompt-encoding processes; (4) most approaches are designed for a single modality; (5) supporting additional modalities consequently requires training multiple independent models; and (6) existing single-modality approaches fail to exploit complementary information across multiple modalities.</t>
  </si>
  <si>
    <t>The paper identifies several challenges: (1) comprehensive pretrained models for 3D shapes jointly with other modalities remain insufficiently explored; (2) previous 3D-shape approaches generally solve individual tasks independently and favour single-modality translation; (3) the specificity of training datasets restricts versatility across tasks and diverse input combinations; (4) existing approaches lack a holistic understanding of the relationships between 3D shapes and other modalities; and (5) constructing a multimodal LLM requires multimodal neural representations compatible with language models and a unified multi-task framework capable of modeling relationships among different modalities.</t>
  </si>
  <si>
    <t>The central challenge is the semantic granularity gap between visual patches and language tokens. Image patches and linguistic tokens may represent information at different semantic levels and granularities, while their bases are dynamic across different inputs. The authors state that this increases the difficulty of learning optimal image–text alignment and may cause encoders to miss shared semantic concepts or encode irrelevant information.</t>
  </si>
  <si>
    <t>The authors identify the difficulty of designing a unified framework that can simultaneously integrate visual, audio, and textual modalities while exploiting heterogeneous resources such as visual–audio pairs, audio–text pairs, unpaired speech, and unpaired text. Previous methods either exclude visual or textual information, cannot fully exploit diverse corpora, or rely on complicated architectures and pretraining objectives rather than a unified semantic space. Speech itself also presents difficulties because it is continuous, has no predefined dictionary or explicit segmentation boundaries, and varies in sequence length.</t>
  </si>
  <si>
    <t>The paper identifies that CLIP's pretrained knowledge is not optimized for dense pixel-level alignment. Existing single-stage ZS3 approaches focus mainly on single-mode and holistic semantic alignment, overlooking sample diversity and fine-grained information, leading to suboptimal segmentation of complex samples. ZS3 also faces the difficulty of expensive pixel-level annotation and generalizing from seen to unseen categories. Proposal-based methods can additionally increase computational cost because every proposal must be classified.</t>
  </si>
  <si>
    <t>Follow-up CXR MVQA presents challenges arising from subtle pathological changes between serial radiographs, non-pathological variations such as patient positioning and equipment differences, and a long-tailed pathology distribution that makes learning rare conditions difficult. The task also requires reasoning about temporal disease progression rather than independently interpreting a single CXR.</t>
  </si>
  <si>
    <t>The authors identify semantic heterogeneity, scale discrepancies, and cross-modal alignment between histopathology and genomic data as major difficulties. WSIs and genomic data differ substantially in dimensionality, distribution, and semantic structure. WSIs additionally have gigapixel-scale size and high heterogeneity, while RNA-sequencing data exhibit high dimensionality, sparsity, and complex nonlinear interactions. Existing direct concatenation or shallow fusion methods inadequately model fine-grained intra-modal semantics and complex cross-modal interactions.</t>
  </si>
  <si>
    <t>The paper identifies insufficient semantic alignment between speech and text during encoding because most existing ASR methods only incorporate external language models at the decoder. It is also difficult to model long-distance acoustic contextual dependencies because speech sequences are substantially longer than text sequences, particularly for extended ATCC utterances. The proposed approach must additionally bridge the input-modality gap between multimodal training and speech-only inference.</t>
  </si>
  <si>
    <t>The authors identify several challenges in multimodal EHR learning: (1) modalities differ in dimensionality, volume, and temporal characteristics; (2) naïvely merging heterogeneous data can degrade predictive performance; (3) real patients frequently have missing modalities, whereas many multimodal methods assume data completeness; and (4) benchmark construction is difficult because adding new modalities to existing patient cohorts is challenging, while requiring complete modalities reduces the number of usable samples.</t>
  </si>
  <si>
    <t>The primary challenge is that conventional dual-encoder architectures depend mainly on global-level image–text alignment, overlooking fine-grained interactions between image regions and textual phrases. This restricts their ability to capture subtle semantic relationships and can produce mismatched or incomplete cross-modal representations. The paper also notes difficulties of detailed sentence interpretation and short input-text capacity in existing dual encoders, as well as biases in visual and textual data.</t>
  </si>
  <si>
    <t>The paper identifies the modality disconnect created when CXRs and radiology reports are modeled independently; shallow fusion and minimal cross-modal interaction; inadequate fine-grained vision–language alignment; task-specific architectures with limited flexibility; limited adaptability associated with disjoint pretraining/fine-tuning and frozen encoders; underuse of anatomical spatial priors; and difficulties transferring generic pretrained representations to clinical data because of domain-distribution differences.</t>
  </si>
  <si>
    <t>Mixed land-use measurement and mapping remains challenging because of limitations in available data sources and analytical methods. Most land-use datasets provide only a single label even when a location supports multiple socioeconomic functions. Overhead imagery provides coarse spatial representations and insufficient visual information, particularly for multi-storey properties, contributing to the problem of applying one-class classification to multi-class land-use scenarios.</t>
  </si>
  <si>
    <t>The authors identify two major challenges: (1) heterogeneity among textual, visual, and news-oriented heterogeneous information network (N-HIN) features makes their effective integration and aggregation difficult; and (2) pretrained multimodal models such as CLIP and cross-modal contrastive learning are not yet fully applicable to fake-news detection, leaving their effective utilization an open problem. Existing approaches also frequently neglect social context or cross-modal correlations and semantic alignment.</t>
  </si>
  <si>
    <t>Existing multimodal learning and retrieval methods are challenged by limited modality coverage, weak semantic alignment, and high computational complexity. The paper further identifies substantial distributional and semantic differences among modalities, which can cause information redundancy or distortion during direct fusion. Scaling alignment to additional modalities is difficult because of modality-specific noise, different sequence lengths, and inconsistent annotation quality.</t>
  </si>
  <si>
    <t>A key challenge is constructing a model that can simultaneously adapt to single-modal and multimodal geometry problems. Geometry problems require text and visual information to be mapped into machine-understandable logical representations before reasoning can occur. Heterogeneous statistical characteristics of text, symbols, formulas, and images create a semantic gap and lack of semantic correlation between modalities.</t>
  </si>
  <si>
    <t>Existing multimodal fake-news detection approaches primarily merge textual and visual features but fail to fully exploit multimodal information from a multi-granularity perspective. The paper also identifies the underutilization of emerging pretrained multimodal models and contrastive-learning methodologies in fake-news detection.</t>
  </si>
  <si>
    <t>Medical VQA is challenged by the scarcity of large-scale annotated medical VQA datasets, which makes end-to-end training difficult. Large-scale medical-domain pretraining datasets are also lacking, while transferring visual feature extractors pretrained on non-medical datasets can introduce domain-shift problems. Existing methods are additionally described as having limited performance improvements and inadequate interpretability.</t>
  </si>
  <si>
    <t>The framework must address the many-to-many mapping between emotions and musical expressions and learn shared semantic structure between the affective and musical modalities. The paper also notes that increasing the number of attention heads can reduce query/key dimensionality to the point that their dot products no longer provide sufficiently informative matching scores.</t>
  </si>
  <si>
    <t>The principal challenges are unaligned/asynchronous multimodal inputs, difficulty modeling long-term dependencies, and insufficient modeling of relationships among emotional labels. Different modalities may also have different sequence lengths and temporal offsets, while emotional states evolve dynamically and are interdependent.</t>
  </si>
  <si>
    <t>Manufacturing produces complex, heterogeneous, high-dimensional sensor data that are difficult to fuse and interpret, particularly when labeled data are unavailable or impractical to obtain. Existing approaches struggle with multimodal sensor fusion involving images, audio, thermal data, and other sensor streams, while large quantities of unlabeled manufacturing data remain underutilized.</t>
  </si>
  <si>
    <t>Developing a single unified algorithm capable of learning from and generating across text, image, and video is identified as a fundamental challenge. Multimodal learning has remained fragmented between diffusion-based generation and compositional vision-language architectures, while evidence that next-token prediction can scale across modalities for both perception and high-fidelity generation has been limited.</t>
  </si>
  <si>
    <t>The authors identify several technical challenges for universal signal tokenization: heterogeneity of input signals and differences in their representations; differences in temporal and spatial resolution and sequence lengths; maintaining scalability as the number of modalities and data complexity increase; and preserving contextual semantics for accurate cross-modal integration. They also identify the absence of an intrinsic vocabulary in continuous signals as a fundamental challenge for applying NLP-style tokenization.</t>
  </si>
  <si>
    <t>Three core challenges are explicitly identified: (1) inadequate coherence/alignment between visual features and linguistic semantics, causing semantic fragmentation; (2) computational bottlenecks in multiscale visual feature extraction and fusion, particularly for high-resolution inputs; and (3) training instability under variable-resolution inputs. Traditional single-scale extraction, static preprocessing under extreme aspect ratios, and separate treatment of visual embeddings further hinder fine-grained cross-modal alignment.</t>
  </si>
  <si>
    <t>The paper identifies three principal challenges: (1) static ItemIDs have scalability and stability difficulties under high item turnover and changing popularity, while long-tail sparsity results in weakly generalized representations; (2) existing multimodal semantic tokenizers face a trade-off between cross-modal synergy and modality-specific uniqueness—modality alignment may obscure modality-specific details through modality dominance, whereas modality separation can miss cross-modal synergy; and (3) the semantic–behavioral gap, whereby semantic representations may not reflect actual user preferences and interactions.</t>
  </si>
  <si>
    <t>Figurative-language understanding remains difficult because idioms, metaphors, and similes depend on subtle cultural, contextual, and multimodal cues that cannot be derived from literal meanings alone. Text-only systems tend to overlook cultural and multimodal information; cross-lingual approaches depend heavily on translation quality and can lose figurative subtleties; and many existing approaches lack interpretability. The paper consequently identifies limitations in multidimensional integration, cultural grounding, and explainability.</t>
  </si>
  <si>
    <t>Existing SSCRL methods have difficulty handling heterogeneous representation formats, particularly discrete and binary representations, because conventional approaches predominantly focus on continuous representations. The paper also identifies the challenge of simultaneously optimizing continuous, discrete, and binary representations and balancing multiple deterministic and stochastic loss functions within a unified architecture.</t>
  </si>
  <si>
    <t>The authors identify dataset-side challenges comprising: insufficient facial attributes and semantic hierarchy; absence of inter-attribute relationships; lack of face-oriented QA data; and inadequate fine-grained facial region masks. On the model side, existing MLLMs struggle with fine-grained facial attributes and small-part segmentation because low-resolution global features and deep grounding features lose low-level details. There is also a disparity between the annotation/segmentation requirements of large facial structures and very small parts, while preserving general-scene and multi-instance understanding is another model-design challenge.</t>
  </si>
  <si>
    <t>The principal challenge is the fundamentally different visual information required for multimodal understanding versus visual generation. Understanding requires high-level semantic information for reasoning, whereas generation requires detailed spatial structure and texture. Reconstruction-oriented VQ tokenizers predominantly capture low-level information and therefore perform poorly in semantic understanding, while semantically oriented tokenizers can lose high-frequency details required for faithful reconstruction. This creates a fundamental semantic–pixel representation trade-off for unified tokenization.</t>
  </si>
  <si>
    <t>Most MLLMs process relatively low-resolution visual inputs, which restricts detailed perception and small-object recognition. Real-world variation in image resolution, scale, and aspect ratio further complicates robust perception. The authors identify two persistent issues: object-level features are absent from existing visual encoders, and existing MLLMs generally do not integrate multi-granularity visual features. Directly increasing resolution also dramatically increases the number of visual tokens and computational burden.</t>
  </si>
  <si>
    <t>Scaling multimodal models by increasing model size and training data incurs substantial computational overhead during training and inference. Existing MoE applications also typically involve relatively few experts and limited modalities, leaving the construction of unified MoE-based MLLMs spanning image, video, audio, speech, and text largely unexplored. The paper additionally addresses challenges concerning multi-expert collaboration, generalization, and efficient expert routing across heterogeneous modalities.</t>
  </si>
  <si>
    <t>Two major challenges are explicitly identified. First, multimodal coordinate alignment becomes difficult because joint spatial-temporal localization greatly expands the coordinate space, while datasets pairing spatiotemporal tubes with linguistic descriptions are scarce. Second, preserving fine-grained visual details during video feature compression is difficult: compression must retain spatial and temporal relationships and contextual details while operating under a limited token budget. The authors state that conventional pooling and Q-Former-based compression can lose spatial relationships and fine-grained information.</t>
  </si>
  <si>
    <t>The paper identifies difficulties in building any-to-any MLLMs, particularly the absence of adequate evaluation benchmarks and the difficulty of handling heterogeneous multimodal sequences. It also explicitly notes that evaluation of music captioning remains challenging because existing objective metrics are limited by the diversity and subjectivity of music.</t>
  </si>
  <si>
    <t>The authors explicitly identify combining heterogeneous modalities as a major multimodal-learning challenge. Video and audio operate at substantially higher rates than text and are approximately time-aligned with one another but often not synchronized with global textual context. Video and audio also contain much larger information volumes that increase with video length, requiring greater computation and making long-range dependency modelling harder. Existing approaches that heavily compress media features or process only limited numbers of frames can inadequately represent long inputs, restricting fine-grained and long-range modelling.</t>
  </si>
  <si>
    <t>The paper explicitly identifies the limitation of dominant dual-encoder architectures: their coarse-grained alignment of global video and text representations hinders the capture of detailed local semantics and further improvement in video-text retrieval. The paper consequently identifies the need to capture local visual semantics and achieve fine-grained video-text semantic alignment while retaining retrieval efficiency. It also notes that the design of masked visual prediction targets is critical to masked visual modelling.</t>
  </si>
  <si>
    <t>Existing medical VQA models are stated to lack the required progressive capabilities of recognition, details, diagnosis, knowledge, and reasoning. The authors attribute this to two explicit problems: “unspecific data,” because public training data are often derived from paper crawlers and lack specially constructed multi-level instruction data; and “plain architecture,” because simple linear layers have difficulty aligning multimodal features when different capabilities depend on different modal features.</t>
  </si>
  <si>
    <t>The authors explicitly state that conventional single-modality approaches often fail to capture the complexity of real-world emotional expressions because such expressions are inherently multimodal. Existing MLLMs face two principal challenges in emotion recognition: difficulty integrating audio and failure to recognize subtle facial micro-expressions. Existing multimodal fusion methods also concentrate primarily on feature interaction and modality completion, while knowledge-level interaction required for human emotional reasoning remains under-explored.</t>
  </si>
  <si>
    <t>The paper identifies the computational challenge associated with video processing: processing large numbers of frames creates redundant computation, memory usage, and inference-time costs, motivating frame-selection and compression techniques. It explicitly emphasizes the need to balance recognition performance with computational efficiency.</t>
  </si>
  <si>
    <t>Same-product identification is explicitly described as challenging because of seller-driven content heterogeneity: identical products can have divergent titles, descriptions, and images, producing latent misalignment across multimodal representations and hindering SKU-level alignment. Existing toolchain approaches require extensive manual feature engineering and hyperparameter/rule tuning, resulting in limited scalability and category-specific maintenance. The authors also identify the absence of high-quality datasets with sufficient coverage and diversity as an obstacle to MLLM-based same-product identification.</t>
  </si>
  <si>
    <t>Existing approaches treat an entire dialogue as a flat sequence and perform pipeline-style generation, which can accumulate errors and overlook critical discourse structure and fine-grained inter-word relationships. The authors further explain that multi-turn conversations contain non-sequential reply relations, long-range dependencies, sentiment shifts, and sentiment elements that may be implicit or dispersed across utterances; consequently, surface-level token sequences alone are insufficient for fine-grained sentiment reasoning.</t>
  </si>
  <si>
    <t>Multimodal; Emotion Recognition and Reasoning; Instruction Tuning</t>
  </si>
  <si>
    <t>SDG-MLLM: Injecting Structured Dialogue Graphs into MLLM for Multimodal Conversational Aspect-Based Sentiment Analysis</t>
  </si>
  <si>
    <t>Uses a small VLM to extract visual and textual fine-grained heuristic features, then projects them into the MLLM feature space through visual/textual collaboration modules.</t>
  </si>
  <si>
    <t>Background:     Radiological diagnosis frequently hinges on the joint interpretation of medical images and their corresponding narrative reports. However, most existing automated approaches treat these modalities in isolation, thereby overlooking their rich semantic interplay an essential element for robust clinical understanding.     Methods:     We introduce RadFuse, a unified multimodal transformer framework that concurrently analyzes chest radiographs and associated free-text radiology reports. The model integrates a Vision Transformer (ViT) for visual representation learning and ClinicalBERT for processing clinical narratives. These modalities are fused through stacked self-attention and bidirectional cross-attention mechanisms, enabling fine-grained semantic alignment. RadFuse is optimized via a composite objective that combines binary cross-entropy for multi-label disease classification and a contrastive InfoNCE loss for image-text retrieval.     Results:     We evaluate RadFuse on two benchmark datasetsâ€”MIMIC-CXR and IU X-ray across two key tasks: disease classification and cross-modal retrieval. On MIMIC-CXR, RadFuse achieves an AUC of 0.847 and a Recall@10 of 78.2, outperforming prior unimodal and shallow multimodal baselines. Ablation studies demonstrate the critical contribution of cross-attention and contrastive training to the modelâ€™s performance.     Conclusion:     RadFuse provides a scalable and interpretable solution for vision-language integration in clinical settings. Its unified architecture enables multi-task learning, facilitates robust semantic grounding, and sets a new benchmark for multimodal modeling in radiology AI.</t>
  </si>
  <si>
    <t>Multi-task</t>
  </si>
  <si>
    <t>Verified by</t>
  </si>
  <si>
    <t>Analyzed by</t>
  </si>
  <si>
    <t>Analysed by</t>
  </si>
  <si>
    <t>Transformer-Based</t>
  </si>
  <si>
    <t>Alignment-based</t>
  </si>
  <si>
    <t>Modality-agnostic</t>
  </si>
  <si>
    <t>Co-training</t>
  </si>
  <si>
    <t>Expert-based</t>
  </si>
  <si>
    <t>Fusion-based</t>
  </si>
  <si>
    <t>Graph-based</t>
  </si>
  <si>
    <t>Encoder-Decoder</t>
  </si>
  <si>
    <t>Two-modlaity</t>
  </si>
  <si>
    <t>Three-modality</t>
  </si>
  <si>
    <t>Four-modality</t>
  </si>
  <si>
    <t>Tokenization Approach category</t>
  </si>
  <si>
    <t>Dominant architectural category</t>
  </si>
  <si>
    <t>Dominant Tokenization Strategy</t>
  </si>
  <si>
    <t>Dominant Alignment strategy</t>
  </si>
  <si>
    <t>M. B. Umar</t>
  </si>
  <si>
    <t>A. Abdulhamid</t>
  </si>
  <si>
    <t>Single-task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</si>
</sst>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1"/>
      <name val="Calibri"/>
      <family val="2"/>
      <scheme val="minor"/>
    </font>
    <font>
      <b/>
      <sz val="12"/>
      <name val="Calibri"/>
      <family val="2"/>
      <scheme val="minor"/>
    </font>
    <font>
      <sz val="11"/>
      <name val="Calibri"/>
      <family val="2"/>
      <scheme val="minor"/>
    </font>
    <font>
      <b/>
      <sz val="12"/>
      <color theme="1"/>
      <name val="Calibri"/>
      <family val="2"/>
      <scheme val="minor"/>
    </font>
    <font>
      <b/>
      <sz val="11"/>
      <color rgb="FF17365D"/>
      <name val="Calibri"/>
      <family val="2"/>
      <scheme val="minor"/>
    </font>
    <font>
      <b/>
      <sz val="11"/>
      <color rgb="FFFFFFFF"/>
      <name val="Calibri"/>
      <family val="2"/>
      <scheme val="minor"/>
    </font>
    <font>
      <sz val="8"/>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AF7"/>
      </patternFill>
    </fill>
    <fill>
      <patternFill patternType="solid">
        <fgColor rgb="FF002060"/>
        <bgColor indexed="64"/>
      </patternFill>
    </fill>
    <fill>
      <patternFill patternType="solid">
        <fgColor rgb="FF00B050"/>
        <bgColor indexed="64"/>
      </patternFill>
    </fill>
    <fill>
      <patternFill patternType="solid">
        <fgColor rgb="FF0070C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1">
    <xf numFmtId="0" fontId="0" fillId="0" borderId="0" xfId="0"/>
    <xf numFmtId="0" fontId="16" fillId="0" borderId="0" xfId="0" applyFont="1"/>
    <xf numFmtId="0" fontId="16"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horizontal="right" vertical="center"/>
    </xf>
    <xf numFmtId="0" fontId="0" fillId="0" borderId="0" xfId="0" applyAlignment="1">
      <alignment horizontal="left" vertical="center"/>
    </xf>
    <xf numFmtId="0" fontId="16" fillId="0" borderId="0" xfId="0" applyFont="1" applyAlignment="1">
      <alignment vertical="center"/>
    </xf>
    <xf numFmtId="0" fontId="16" fillId="0" borderId="0" xfId="0" applyFont="1" applyAlignment="1">
      <alignment horizontal="center"/>
    </xf>
    <xf numFmtId="0" fontId="16" fillId="0" borderId="0" xfId="0" applyFont="1" applyAlignment="1">
      <alignment horizontal="left" vertical="center"/>
    </xf>
    <xf numFmtId="0" fontId="0" fillId="0" borderId="0" xfId="0" applyAlignment="1">
      <alignment horizontal="right" vertical="center"/>
    </xf>
    <xf numFmtId="0" fontId="0" fillId="0" borderId="0" xfId="0" applyAlignment="1">
      <alignment horizontal="right" vertical="center" wrapText="1"/>
    </xf>
    <xf numFmtId="0" fontId="16" fillId="0" borderId="0" xfId="0" applyFont="1" applyAlignment="1">
      <alignment horizontal="right" vertical="center" wrapText="1"/>
    </xf>
    <xf numFmtId="0" fontId="0" fillId="0" borderId="0" xfId="0" applyAlignment="1">
      <alignment vertical="top"/>
    </xf>
    <xf numFmtId="0" fontId="0" fillId="0" borderId="0" xfId="0" applyAlignment="1">
      <alignment vertical="top" wrapText="1"/>
    </xf>
    <xf numFmtId="0" fontId="16" fillId="0" borderId="0" xfId="0" applyFont="1" applyAlignment="1">
      <alignment vertical="top"/>
    </xf>
    <xf numFmtId="0" fontId="0" fillId="0" borderId="0" xfId="0" applyAlignment="1">
      <alignment horizontal="center" vertical="top"/>
    </xf>
    <xf numFmtId="0" fontId="16" fillId="0" borderId="0" xfId="0" applyFont="1" applyAlignment="1">
      <alignment horizontal="center" vertical="top"/>
    </xf>
    <xf numFmtId="0" fontId="20" fillId="0" borderId="0" xfId="0" applyFont="1" applyAlignment="1">
      <alignment vertical="center" wrapText="1"/>
    </xf>
    <xf numFmtId="0" fontId="21" fillId="0" borderId="0" xfId="0" applyFont="1" applyAlignment="1">
      <alignment horizontal="center" vertical="center"/>
    </xf>
    <xf numFmtId="0" fontId="21" fillId="0" borderId="0" xfId="0" applyFont="1"/>
    <xf numFmtId="0" fontId="20" fillId="0" borderId="0" xfId="0" applyFont="1" applyAlignment="1">
      <alignment vertical="center"/>
    </xf>
    <xf numFmtId="0" fontId="19" fillId="0" borderId="0" xfId="0" applyFont="1" applyAlignment="1">
      <alignment vertical="center"/>
    </xf>
    <xf numFmtId="0" fontId="13" fillId="34" borderId="0" xfId="0" applyFont="1" applyFill="1" applyAlignment="1">
      <alignment horizontal="center" vertical="center"/>
    </xf>
    <xf numFmtId="0" fontId="0" fillId="0" borderId="0" xfId="0" applyAlignment="1">
      <alignment wrapText="1"/>
    </xf>
    <xf numFmtId="0" fontId="23" fillId="33" borderId="0" xfId="0" applyFont="1" applyFill="1" applyAlignment="1">
      <alignment horizontal="center" vertical="center"/>
    </xf>
    <xf numFmtId="164" fontId="0" fillId="0" borderId="0" xfId="0" applyNumberFormat="1" applyAlignment="1">
      <alignment horizontal="center" vertical="center"/>
    </xf>
    <xf numFmtId="0" fontId="16" fillId="0" borderId="10" xfId="0" applyFont="1" applyBorder="1" applyAlignment="1">
      <alignment horizontal="center" vertical="center"/>
    </xf>
    <xf numFmtId="0" fontId="22" fillId="0" borderId="10" xfId="0" applyFont="1" applyBorder="1" applyAlignment="1">
      <alignment horizontal="center" vertical="center"/>
    </xf>
    <xf numFmtId="0" fontId="23" fillId="33" borderId="0" xfId="0" applyFont="1" applyFill="1" applyAlignment="1">
      <alignment horizontal="center" vertical="center" wrapText="1"/>
    </xf>
    <xf numFmtId="0" fontId="13" fillId="0" borderId="0" xfId="0" applyFont="1" applyAlignment="1">
      <alignment vertical="center" wrapText="1"/>
    </xf>
    <xf numFmtId="0" fontId="19" fillId="0" borderId="0" xfId="0" applyFont="1" applyAlignment="1">
      <alignment wrapText="1"/>
    </xf>
    <xf numFmtId="0" fontId="21" fillId="0" borderId="0" xfId="0" applyFont="1" applyAlignment="1">
      <alignment horizontal="center" vertical="center" wrapText="1"/>
    </xf>
    <xf numFmtId="164" fontId="21" fillId="0" borderId="0" xfId="0" applyNumberFormat="1" applyFont="1" applyAlignment="1">
      <alignment horizontal="center" vertical="center"/>
    </xf>
    <xf numFmtId="2" fontId="0" fillId="0" borderId="0" xfId="0" applyNumberFormat="1"/>
    <xf numFmtId="164" fontId="19" fillId="0" borderId="0" xfId="0" applyNumberFormat="1" applyFont="1" applyAlignment="1">
      <alignment horizontal="center" vertical="center"/>
    </xf>
    <xf numFmtId="10" fontId="21" fillId="0" borderId="0" xfId="42" applyNumberFormat="1" applyFont="1" applyFill="1" applyAlignment="1">
      <alignment horizontal="center" vertical="center"/>
    </xf>
    <xf numFmtId="0" fontId="0" fillId="0" borderId="0" xfId="0" applyAlignment="1">
      <alignment horizontal="center"/>
    </xf>
    <xf numFmtId="0" fontId="16" fillId="0" borderId="0" xfId="0" applyFont="1" applyAlignment="1">
      <alignment horizontal="center"/>
    </xf>
    <xf numFmtId="0" fontId="13" fillId="34" borderId="0" xfId="0" applyFont="1" applyFill="1" applyAlignment="1">
      <alignment horizontal="center" vertical="center" wrapText="1"/>
    </xf>
    <xf numFmtId="0" fontId="24" fillId="34" borderId="0" xfId="0" applyFont="1" applyFill="1" applyAlignment="1">
      <alignment horizontal="center" vertical="center" wrapText="1"/>
    </xf>
    <xf numFmtId="0" fontId="13" fillId="34" borderId="0" xfId="0" applyFont="1" applyFill="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wrapText="1"/>
    </xf>
    <xf numFmtId="0" fontId="16" fillId="0" borderId="0" xfId="0" applyFont="1" applyAlignment="1">
      <alignment horizontal="center" vertical="center"/>
    </xf>
    <xf numFmtId="0" fontId="16" fillId="35" borderId="0" xfId="0" applyFont="1" applyFill="1"/>
    <xf numFmtId="0" fontId="16" fillId="36" borderId="0" xfId="0" applyFont="1" applyFill="1" applyAlignment="1">
      <alignment horizontal="center" vertical="center" wrapText="1"/>
    </xf>
    <xf numFmtId="0" fontId="16" fillId="36" borderId="0" xfId="0" applyFont="1" applyFill="1" applyAlignment="1">
      <alignment horizontal="center" vertical="center"/>
    </xf>
    <xf numFmtId="0" fontId="16" fillId="0"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Number of Studies</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'Demographic Analysis'!$A$3:$A$8</c:f>
              <c:numCache>
                <c:formatCode>General</c:formatCode>
                <c:ptCount val="6"/>
                <c:pt idx="0">
                  <c:v>2021</c:v>
                </c:pt>
                <c:pt idx="1">
                  <c:v>2022</c:v>
                </c:pt>
                <c:pt idx="2">
                  <c:v>2023</c:v>
                </c:pt>
                <c:pt idx="3">
                  <c:v>2024</c:v>
                </c:pt>
                <c:pt idx="4">
                  <c:v>2025</c:v>
                </c:pt>
                <c:pt idx="5">
                  <c:v>2026</c:v>
                </c:pt>
              </c:numCache>
            </c:numRef>
          </c:cat>
          <c:val>
            <c:numRef>
              <c:f>'Demographic Analysis'!$B$3:$B$8</c:f>
              <c:numCache>
                <c:formatCode>General</c:formatCode>
                <c:ptCount val="6"/>
                <c:pt idx="0">
                  <c:v>1</c:v>
                </c:pt>
                <c:pt idx="1">
                  <c:v>1</c:v>
                </c:pt>
                <c:pt idx="2">
                  <c:v>6</c:v>
                </c:pt>
                <c:pt idx="3">
                  <c:v>12</c:v>
                </c:pt>
                <c:pt idx="4">
                  <c:v>31</c:v>
                </c:pt>
                <c:pt idx="5">
                  <c:v>7</c:v>
                </c:pt>
              </c:numCache>
            </c:numRef>
          </c:val>
          <c:smooth val="0"/>
          <c:extLst>
            <c:ext xmlns:c16="http://schemas.microsoft.com/office/drawing/2014/chart" uri="{C3380CC4-5D6E-409C-BE32-E72D297353CC}">
              <c16:uniqueId val="{00000000-1497-4152-BBAB-264B404E5D05}"/>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683149007"/>
        <c:axId val="1547481791"/>
      </c:lineChart>
      <c:catAx>
        <c:axId val="1683149007"/>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Year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81791"/>
        <c:crosses val="autoZero"/>
        <c:auto val="1"/>
        <c:lblAlgn val="ctr"/>
        <c:lblOffset val="100"/>
        <c:noMultiLvlLbl val="0"/>
      </c:catAx>
      <c:valAx>
        <c:axId val="1547481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Number of Studies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149007"/>
        <c:crosses val="autoZero"/>
        <c:crossBetween val="between"/>
      </c:valAx>
      <c:spPr>
        <a:pattFill prst="pct5">
          <a:fgClr>
            <a:schemeClr val="accent1"/>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7722-45A1-9A9C-869C3A71248E}"/>
              </c:ext>
            </c:extLst>
          </c:dPt>
          <c:dPt>
            <c:idx val="1"/>
            <c:bubble3D val="0"/>
            <c:spPr>
              <a:solidFill>
                <a:srgbClr val="002060"/>
              </a:solidFill>
              <a:ln>
                <a:noFill/>
              </a:ln>
              <a:effectLst/>
            </c:spPr>
            <c:extLst>
              <c:ext xmlns:c16="http://schemas.microsoft.com/office/drawing/2014/chart" uri="{C3380CC4-5D6E-409C-BE32-E72D297353CC}">
                <c16:uniqueId val="{00000007-7722-45A1-9A9C-869C3A71248E}"/>
              </c:ext>
            </c:extLst>
          </c:dPt>
          <c:dPt>
            <c:idx val="2"/>
            <c:bubble3D val="0"/>
            <c:spPr>
              <a:solidFill>
                <a:srgbClr val="FF0000"/>
              </a:solidFill>
              <a:ln>
                <a:noFill/>
              </a:ln>
              <a:effectLst/>
            </c:spPr>
            <c:extLst>
              <c:ext xmlns:c16="http://schemas.microsoft.com/office/drawing/2014/chart" uri="{C3380CC4-5D6E-409C-BE32-E72D297353CC}">
                <c16:uniqueId val="{00000008-7722-45A1-9A9C-869C3A71248E}"/>
              </c:ext>
            </c:extLst>
          </c:dPt>
          <c:dPt>
            <c:idx val="3"/>
            <c:bubble3D val="0"/>
            <c:spPr>
              <a:solidFill>
                <a:srgbClr val="00B050"/>
              </a:solidFill>
              <a:ln>
                <a:noFill/>
              </a:ln>
              <a:effectLst/>
            </c:spPr>
            <c:extLst>
              <c:ext xmlns:c16="http://schemas.microsoft.com/office/drawing/2014/chart" uri="{C3380CC4-5D6E-409C-BE32-E72D297353CC}">
                <c16:uniqueId val="{00000006-7722-45A1-9A9C-869C3A71248E}"/>
              </c:ext>
            </c:extLst>
          </c:dPt>
          <c:dPt>
            <c:idx val="4"/>
            <c:bubble3D val="0"/>
            <c:spPr>
              <a:solidFill>
                <a:srgbClr val="FFFF00"/>
              </a:solidFill>
              <a:ln>
                <a:noFill/>
              </a:ln>
              <a:effectLst/>
            </c:spPr>
            <c:extLst>
              <c:ext xmlns:c16="http://schemas.microsoft.com/office/drawing/2014/chart" uri="{C3380CC4-5D6E-409C-BE32-E72D297353CC}">
                <c16:uniqueId val="{00000001-7722-45A1-9A9C-869C3A71248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A3D6-4DCA-93F0-5E59C1CD988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7722-45A1-9A9C-869C3A71248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4-7722-45A1-9A9C-869C3A71248E}"/>
              </c:ext>
            </c:extLst>
          </c:dPt>
          <c:dPt>
            <c:idx val="8"/>
            <c:bubble3D val="0"/>
            <c:spPr>
              <a:solidFill>
                <a:srgbClr val="7030A0"/>
              </a:solidFill>
              <a:ln>
                <a:noFill/>
              </a:ln>
              <a:effectLst/>
            </c:spPr>
            <c:extLst>
              <c:ext xmlns:c16="http://schemas.microsoft.com/office/drawing/2014/chart" uri="{C3380CC4-5D6E-409C-BE32-E72D297353CC}">
                <c16:uniqueId val="{00000005-7722-45A1-9A9C-869C3A71248E}"/>
              </c:ext>
            </c:extLst>
          </c:dPt>
          <c:dPt>
            <c:idx val="9"/>
            <c:bubble3D val="0"/>
            <c:spPr>
              <a:solidFill>
                <a:schemeClr val="accent3">
                  <a:lumMod val="50000"/>
                </a:schemeClr>
              </a:solidFill>
              <a:ln>
                <a:noFill/>
              </a:ln>
              <a:effectLst/>
            </c:spPr>
            <c:extLst>
              <c:ext xmlns:c16="http://schemas.microsoft.com/office/drawing/2014/chart" uri="{C3380CC4-5D6E-409C-BE32-E72D297353CC}">
                <c16:uniqueId val="{00000002-7722-45A1-9A9C-869C3A71248E}"/>
              </c:ext>
            </c:extLst>
          </c:dPt>
          <c:dLbls>
            <c:dLbl>
              <c:idx val="0"/>
              <c:layout>
                <c:manualLayout>
                  <c:x val="0.24371746653176724"/>
                  <c:y val="5.246467320986285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8.0745364146554852E-2"/>
                      <c:h val="8.7441077441077444E-2"/>
                    </c:manualLayout>
                  </c15:layout>
                </c:ext>
                <c:ext xmlns:c16="http://schemas.microsoft.com/office/drawing/2014/chart" uri="{C3380CC4-5D6E-409C-BE32-E72D297353CC}">
                  <c16:uniqueId val="{00000003-7722-45A1-9A9C-869C3A71248E}"/>
                </c:ext>
              </c:extLst>
            </c:dLbl>
            <c:dLbl>
              <c:idx val="1"/>
              <c:layout>
                <c:manualLayout>
                  <c:x val="5.4891598915989159E-2"/>
                  <c:y val="4.71786102494763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22-45A1-9A9C-869C3A71248E}"/>
                </c:ext>
              </c:extLst>
            </c:dLbl>
            <c:dLbl>
              <c:idx val="2"/>
              <c:layout>
                <c:manualLayout>
                  <c:x val="-0.26100016129268755"/>
                  <c:y val="-6.90314128867695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722-45A1-9A9C-869C3A71248E}"/>
                </c:ext>
              </c:extLst>
            </c:dLbl>
            <c:dLbl>
              <c:idx val="3"/>
              <c:layout>
                <c:manualLayout>
                  <c:x val="-7.7100697778631336E-2"/>
                  <c:y val="0.1152779766165592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722-45A1-9A9C-869C3A71248E}"/>
                </c:ext>
              </c:extLst>
            </c:dLbl>
            <c:dLbl>
              <c:idx val="4"/>
              <c:layout>
                <c:manualLayout>
                  <c:x val="-0.14280242408723301"/>
                  <c:y val="0.1823624795591649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722-45A1-9A9C-869C3A71248E}"/>
                </c:ext>
              </c:extLst>
            </c:dLbl>
            <c:dLbl>
              <c:idx val="6"/>
              <c:layout>
                <c:manualLayout>
                  <c:x val="-0.1992904954618103"/>
                  <c:y val="4.11800857639273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722-45A1-9A9C-869C3A71248E}"/>
                </c:ext>
              </c:extLst>
            </c:dLbl>
            <c:dLbl>
              <c:idx val="7"/>
              <c:layout>
                <c:manualLayout>
                  <c:x val="-5.0769870382907402E-2"/>
                  <c:y val="8.7260034904013963E-4"/>
                </c:manualLayout>
              </c:layout>
              <c:showLegendKey val="0"/>
              <c:showVal val="0"/>
              <c:showCatName val="1"/>
              <c:showSerName val="0"/>
              <c:showPercent val="1"/>
              <c:showBubbleSize val="0"/>
              <c:extLst>
                <c:ext xmlns:c15="http://schemas.microsoft.com/office/drawing/2012/chart" uri="{CE6537A1-D6FC-4f65-9D91-7224C49458BB}">
                  <c15:layout>
                    <c:manualLayout>
                      <c:w val="0.16028864059590317"/>
                      <c:h val="0.13773474178403755"/>
                    </c:manualLayout>
                  </c15:layout>
                </c:ext>
                <c:ext xmlns:c16="http://schemas.microsoft.com/office/drawing/2014/chart" uri="{C3380CC4-5D6E-409C-BE32-E72D297353CC}">
                  <c16:uniqueId val="{00000004-7722-45A1-9A9C-869C3A71248E}"/>
                </c:ext>
              </c:extLst>
            </c:dLbl>
            <c:dLbl>
              <c:idx val="8"/>
              <c:layout>
                <c:manualLayout>
                  <c:x val="6.63749653244564E-2"/>
                  <c:y val="-7.175385799288177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22-45A1-9A9C-869C3A71248E}"/>
                </c:ext>
              </c:extLst>
            </c:dLbl>
            <c:dLbl>
              <c:idx val="9"/>
              <c:layout>
                <c:manualLayout>
                  <c:x val="0.23369801335808635"/>
                  <c:y val="1.03439556966373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722-45A1-9A9C-869C3A7124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'Demographic Analysis'!$M$3:$M$12</c:f>
              <c:strCache>
                <c:ptCount val="10"/>
                <c:pt idx="0">
                  <c:v>ACL</c:v>
                </c:pt>
                <c:pt idx="1">
                  <c:v>ACM</c:v>
                </c:pt>
                <c:pt idx="2">
                  <c:v>Elsevier</c:v>
                </c:pt>
                <c:pt idx="3">
                  <c:v>IEEE</c:v>
                </c:pt>
                <c:pt idx="4">
                  <c:v>MDPI</c:v>
                </c:pt>
                <c:pt idx="5">
                  <c:v>Nature</c:v>
                </c:pt>
                <c:pt idx="6">
                  <c:v>NeurIPS</c:v>
                </c:pt>
                <c:pt idx="7">
                  <c:v>Science and Information Organization</c:v>
                </c:pt>
                <c:pt idx="8">
                  <c:v>Springer Nature</c:v>
                </c:pt>
                <c:pt idx="9">
                  <c:v>Tech Science Press</c:v>
                </c:pt>
              </c:strCache>
            </c:strRef>
          </c:cat>
          <c:val>
            <c:numRef>
              <c:f>'Demographic Analysis'!$N$3:$N$12</c:f>
              <c:numCache>
                <c:formatCode>General</c:formatCode>
                <c:ptCount val="10"/>
                <c:pt idx="0">
                  <c:v>2</c:v>
                </c:pt>
                <c:pt idx="1">
                  <c:v>22</c:v>
                </c:pt>
                <c:pt idx="2">
                  <c:v>14</c:v>
                </c:pt>
                <c:pt idx="3">
                  <c:v>12</c:v>
                </c:pt>
                <c:pt idx="4">
                  <c:v>1</c:v>
                </c:pt>
                <c:pt idx="5">
                  <c:v>1</c:v>
                </c:pt>
                <c:pt idx="6">
                  <c:v>1</c:v>
                </c:pt>
                <c:pt idx="7">
                  <c:v>1</c:v>
                </c:pt>
                <c:pt idx="8">
                  <c:v>2</c:v>
                </c:pt>
                <c:pt idx="9">
                  <c:v>2</c:v>
                </c:pt>
              </c:numCache>
            </c:numRef>
          </c:val>
          <c:extLst>
            <c:ext xmlns:c16="http://schemas.microsoft.com/office/drawing/2014/chart" uri="{C3380CC4-5D6E-409C-BE32-E72D297353CC}">
              <c16:uniqueId val="{00000000-7722-45A1-9A9C-869C3A71248E}"/>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1"/>
            </a:solidFill>
            <a:ln>
              <a:noFill/>
            </a:ln>
            <a:effectLst/>
            <a:sp3d/>
          </c:spPr>
          <c:invertIfNegative val="0"/>
          <c:cat>
            <c:strRef>
              <c:f>'Demographic Analysis'!$Z$3:$Z$31</c:f>
              <c:strCache>
                <c:ptCount val="29"/>
                <c:pt idx="0">
                  <c:v>Healthcare</c:v>
                </c:pt>
                <c:pt idx="1">
                  <c:v>Computer vision</c:v>
                </c:pt>
                <c:pt idx="2">
                  <c:v>Affective computing</c:v>
                </c:pt>
                <c:pt idx="3">
                  <c:v>Multimodal LLMs</c:v>
                </c:pt>
                <c:pt idx="4">
                  <c:v>Artificial intelligence</c:v>
                </c:pt>
                <c:pt idx="5">
                  <c:v>Information retrieval</c:v>
                </c:pt>
                <c:pt idx="6">
                  <c:v>Recommender systems</c:v>
                </c:pt>
                <c:pt idx="7">
                  <c:v>Multimedia retrieval</c:v>
                </c:pt>
                <c:pt idx="8">
                  <c:v>Natural language processing</c:v>
                </c:pt>
                <c:pt idx="9">
                  <c:v>Vision-language learning</c:v>
                </c:pt>
                <c:pt idx="10">
                  <c:v>Cybersecurity</c:v>
                </c:pt>
                <c:pt idx="11">
                  <c:v>Multimodal AI</c:v>
                </c:pt>
                <c:pt idx="12">
                  <c:v>Language learning</c:v>
                </c:pt>
                <c:pt idx="13">
                  <c:v>Sentiment analysis</c:v>
                </c:pt>
                <c:pt idx="14">
                  <c:v>Intelligent systems</c:v>
                </c:pt>
                <c:pt idx="15">
                  <c:v>Music information processing</c:v>
                </c:pt>
                <c:pt idx="16">
                  <c:v>Remote sensing</c:v>
                </c:pt>
                <c:pt idx="17">
                  <c:v>Accessibility technology</c:v>
                </c:pt>
                <c:pt idx="18">
                  <c:v>Knowledge representation</c:v>
                </c:pt>
                <c:pt idx="19">
                  <c:v>Forecasting</c:v>
                </c:pt>
                <c:pt idx="20">
                  <c:v>Multimodal learning</c:v>
                </c:pt>
                <c:pt idx="21">
                  <c:v>3D generation</c:v>
                </c:pt>
                <c:pt idx="22">
                  <c:v>Speech processing</c:v>
                </c:pt>
                <c:pt idx="23">
                  <c:v>Aviation safety</c:v>
                </c:pt>
                <c:pt idx="24">
                  <c:v>Geoinformatics</c:v>
                </c:pt>
                <c:pt idx="25">
                  <c:v>Education</c:v>
                </c:pt>
                <c:pt idx="26">
                  <c:v>Smart manufacturing</c:v>
                </c:pt>
                <c:pt idx="27">
                  <c:v>Video understanding</c:v>
                </c:pt>
                <c:pt idx="28">
                  <c:v>Generative AI</c:v>
                </c:pt>
              </c:strCache>
            </c:strRef>
          </c:cat>
          <c:val>
            <c:numRef>
              <c:f>'Demographic Analysis'!$AA$3:$AA$31</c:f>
              <c:numCache>
                <c:formatCode>General</c:formatCode>
                <c:ptCount val="29"/>
                <c:pt idx="0">
                  <c:v>8</c:v>
                </c:pt>
                <c:pt idx="1">
                  <c:v>6</c:v>
                </c:pt>
                <c:pt idx="2">
                  <c:v>5</c:v>
                </c:pt>
                <c:pt idx="3">
                  <c:v>3</c:v>
                </c:pt>
                <c:pt idx="4">
                  <c:v>2</c:v>
                </c:pt>
                <c:pt idx="5">
                  <c:v>2</c:v>
                </c:pt>
                <c:pt idx="6">
                  <c:v>2</c:v>
                </c:pt>
                <c:pt idx="7">
                  <c:v>2</c:v>
                </c:pt>
                <c:pt idx="8">
                  <c:v>2</c:v>
                </c:pt>
                <c:pt idx="9">
                  <c:v>2</c:v>
                </c:pt>
                <c:pt idx="10">
                  <c:v>2</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numCache>
            </c:numRef>
          </c:val>
          <c:extLst>
            <c:ext xmlns:c16="http://schemas.microsoft.com/office/drawing/2014/chart" uri="{C3380CC4-5D6E-409C-BE32-E72D297353CC}">
              <c16:uniqueId val="{00000000-5AB3-4220-9074-835EF1F9536E}"/>
            </c:ext>
          </c:extLst>
        </c:ser>
        <c:dLbls>
          <c:showLegendKey val="0"/>
          <c:showVal val="0"/>
          <c:showCatName val="0"/>
          <c:showSerName val="0"/>
          <c:showPercent val="0"/>
          <c:showBubbleSize val="0"/>
        </c:dLbls>
        <c:gapWidth val="150"/>
        <c:shape val="box"/>
        <c:axId val="56856127"/>
        <c:axId val="1547402335"/>
        <c:axId val="0"/>
      </c:bar3DChart>
      <c:catAx>
        <c:axId val="56856127"/>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Research Area</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02335"/>
        <c:crosses val="autoZero"/>
        <c:auto val="1"/>
        <c:lblAlgn val="ctr"/>
        <c:lblOffset val="100"/>
        <c:noMultiLvlLbl val="0"/>
      </c:catAx>
      <c:valAx>
        <c:axId val="15474023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Number of Studies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5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'Modality Analysis'!$A$3:$A$5</c:f>
              <c:strCache>
                <c:ptCount val="3"/>
                <c:pt idx="0">
                  <c:v>Two-modlaity</c:v>
                </c:pt>
                <c:pt idx="1">
                  <c:v>Three-modality</c:v>
                </c:pt>
                <c:pt idx="2">
                  <c:v>Four-modality</c:v>
                </c:pt>
              </c:strCache>
            </c:strRef>
          </c:cat>
          <c:val>
            <c:numRef>
              <c:f>'Modality Analysis'!$B$3:$B$5</c:f>
              <c:numCache>
                <c:formatCode>General</c:formatCode>
                <c:ptCount val="3"/>
                <c:pt idx="0">
                  <c:v>38</c:v>
                </c:pt>
                <c:pt idx="1">
                  <c:v>15</c:v>
                </c:pt>
                <c:pt idx="2">
                  <c:v>5</c:v>
                </c:pt>
              </c:numCache>
            </c:numRef>
          </c:val>
          <c:extLst>
            <c:ext xmlns:c16="http://schemas.microsoft.com/office/drawing/2014/chart" uri="{C3380CC4-5D6E-409C-BE32-E72D297353CC}">
              <c16:uniqueId val="{00000000-5504-48D4-A832-8FA9BCED78E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'Achitectural Design Analysis'!$B$2:$B$10</c:f>
              <c:strCache>
                <c:ptCount val="9"/>
                <c:pt idx="0">
                  <c:v>Fusion-based architectures</c:v>
                </c:pt>
                <c:pt idx="1">
                  <c:v>Alignment-based architectures</c:v>
                </c:pt>
                <c:pt idx="2">
                  <c:v>Attention-based architectures</c:v>
                </c:pt>
                <c:pt idx="3">
                  <c:v>Graph-based architectures</c:v>
                </c:pt>
                <c:pt idx="4">
                  <c:v>Modality-agnostic architectures</c:v>
                </c:pt>
                <c:pt idx="5">
                  <c:v>Expert-based architectures</c:v>
                </c:pt>
                <c:pt idx="6">
                  <c:v>Co-training architectures</c:v>
                </c:pt>
                <c:pt idx="7">
                  <c:v>Encoder-Decoder architectures</c:v>
                </c:pt>
                <c:pt idx="8">
                  <c:v>Transformer-Based architectures</c:v>
                </c:pt>
              </c:strCache>
            </c:strRef>
          </c:cat>
          <c:val>
            <c:numRef>
              <c:f>'Achitectural Design Analysis'!$C$2:$C$10</c:f>
              <c:numCache>
                <c:formatCode>General</c:formatCode>
                <c:ptCount val="9"/>
                <c:pt idx="0">
                  <c:v>8</c:v>
                </c:pt>
                <c:pt idx="1">
                  <c:v>18</c:v>
                </c:pt>
                <c:pt idx="2">
                  <c:v>7</c:v>
                </c:pt>
                <c:pt idx="3">
                  <c:v>4</c:v>
                </c:pt>
                <c:pt idx="4">
                  <c:v>7</c:v>
                </c:pt>
                <c:pt idx="5">
                  <c:v>2</c:v>
                </c:pt>
                <c:pt idx="6">
                  <c:v>1</c:v>
                </c:pt>
                <c:pt idx="7">
                  <c:v>6</c:v>
                </c:pt>
                <c:pt idx="8">
                  <c:v>5</c:v>
                </c:pt>
              </c:numCache>
            </c:numRef>
          </c:val>
          <c:extLst>
            <c:ext xmlns:c16="http://schemas.microsoft.com/office/drawing/2014/chart" uri="{C3380CC4-5D6E-409C-BE32-E72D297353CC}">
              <c16:uniqueId val="{00000000-BBF2-4002-8E74-0599A1B06D7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95250</xdr:rowOff>
    </xdr:from>
    <xdr:to>
      <xdr:col>5</xdr:col>
      <xdr:colOff>723900</xdr:colOff>
      <xdr:row>37</xdr:row>
      <xdr:rowOff>95250</xdr:rowOff>
    </xdr:to>
    <xdr:graphicFrame macro="">
      <xdr:nvGraphicFramePr>
        <xdr:cNvPr id="4" name="Chart 3">
          <a:extLst>
            <a:ext uri="{FF2B5EF4-FFF2-40B4-BE49-F238E27FC236}">
              <a16:creationId xmlns:a16="http://schemas.microsoft.com/office/drawing/2014/main" id="{E771B5B8-D55B-4857-8529-F54397D7A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832032</xdr:colOff>
      <xdr:row>17</xdr:row>
      <xdr:rowOff>14877</xdr:rowOff>
    </xdr:from>
    <xdr:to>
      <xdr:col>13</xdr:col>
      <xdr:colOff>961572</xdr:colOff>
      <xdr:row>43</xdr:row>
      <xdr:rowOff>7257</xdr:rowOff>
    </xdr:to>
    <xdr:graphicFrame macro="">
      <xdr:nvGraphicFramePr>
        <xdr:cNvPr id="6" name="Chart 5">
          <a:extLst>
            <a:ext uri="{FF2B5EF4-FFF2-40B4-BE49-F238E27FC236}">
              <a16:creationId xmlns:a16="http://schemas.microsoft.com/office/drawing/2014/main" id="{15A0E215-49F4-4503-8B9F-A35462A27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1280160</xdr:colOff>
      <xdr:row>32</xdr:row>
      <xdr:rowOff>118110</xdr:rowOff>
    </xdr:from>
    <xdr:to>
      <xdr:col>28</xdr:col>
      <xdr:colOff>586740</xdr:colOff>
      <xdr:row>63</xdr:row>
      <xdr:rowOff>144780</xdr:rowOff>
    </xdr:to>
    <xdr:graphicFrame macro="">
      <xdr:nvGraphicFramePr>
        <xdr:cNvPr id="7" name="Chart 6">
          <a:extLst>
            <a:ext uri="{FF2B5EF4-FFF2-40B4-BE49-F238E27FC236}">
              <a16:creationId xmlns:a16="http://schemas.microsoft.com/office/drawing/2014/main" id="{64C3C909-A01B-4B2E-8532-E2EA71194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962025</xdr:colOff>
      <xdr:row>20</xdr:row>
      <xdr:rowOff>68262</xdr:rowOff>
    </xdr:from>
    <xdr:to>
      <xdr:col>5</xdr:col>
      <xdr:colOff>1409700</xdr:colOff>
      <xdr:row>35</xdr:row>
      <xdr:rowOff>103187</xdr:rowOff>
    </xdr:to>
    <xdr:graphicFrame macro="">
      <xdr:nvGraphicFramePr>
        <xdr:cNvPr id="3" name="Chart 2">
          <a:extLst>
            <a:ext uri="{FF2B5EF4-FFF2-40B4-BE49-F238E27FC236}">
              <a16:creationId xmlns:a16="http://schemas.microsoft.com/office/drawing/2014/main" id="{E3BF0A26-E4E6-8654-872F-E2F05453C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514350</xdr:colOff>
      <xdr:row>10</xdr:row>
      <xdr:rowOff>4762</xdr:rowOff>
    </xdr:from>
    <xdr:to>
      <xdr:col>12</xdr:col>
      <xdr:colOff>95250</xdr:colOff>
      <xdr:row>25</xdr:row>
      <xdr:rowOff>33337</xdr:rowOff>
    </xdr:to>
    <xdr:graphicFrame macro="">
      <xdr:nvGraphicFramePr>
        <xdr:cNvPr id="2" name="Chart 1">
          <a:extLst>
            <a:ext uri="{FF2B5EF4-FFF2-40B4-BE49-F238E27FC236}">
              <a16:creationId xmlns:a16="http://schemas.microsoft.com/office/drawing/2014/main" id="{1959720D-2D12-386B-56F6-8DE188DD7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C888-2A7D-439C-81E0-F9AAD8E97EC3}">
  <sheetPr>
    <tabColor rgb="FFFFC000"/>
  </sheetPr>
  <dimension ref="A1:AN60"/>
  <sheetViews>
    <sheetView workbookViewId="0">
      <selection activeCell="H31" sqref="H31"/>
    </sheetView>
  </sheetViews>
  <sheetFormatPr defaultRowHeight="14.5" x14ac:dyDescent="0.35"/>
  <cols>
    <col min="2" max="18" width="6.6328125" customWidth="1"/>
    <col min="21" max="21" width="10.90625" customWidth="1"/>
    <col min="24" max="24" width="31.08984375" bestFit="1" customWidth="1"/>
    <col min="25" max="28" width="10.6328125" customWidth="1"/>
    <col min="29" max="30" width="6.6328125" customWidth="1"/>
    <col min="31" max="31" width="30.36328125" bestFit="1" customWidth="1"/>
    <col min="32" max="32" width="11.81640625" bestFit="1" customWidth="1"/>
    <col min="33" max="33" width="36.7265625" bestFit="1" customWidth="1"/>
    <col min="34" max="34" width="18.90625" bestFit="1" customWidth="1"/>
    <col min="35" max="39" width="6.6328125" customWidth="1"/>
  </cols>
  <sheetData>
    <row r="1" spans="1:40" ht="15.5" x14ac:dyDescent="0.35">
      <c r="B1" s="40" t="s">
        <v>1113</v>
      </c>
      <c r="C1" s="40"/>
      <c r="D1" s="40"/>
      <c r="E1" s="40"/>
      <c r="F1" s="40"/>
      <c r="G1" s="40"/>
      <c r="H1" s="40"/>
      <c r="I1" s="40"/>
      <c r="K1" s="40" t="s">
        <v>1114</v>
      </c>
      <c r="L1" s="40"/>
      <c r="M1" s="40"/>
      <c r="N1" s="40"/>
      <c r="O1" s="40"/>
      <c r="P1" s="40"/>
      <c r="Q1" s="40"/>
      <c r="R1" s="40"/>
      <c r="X1" s="43" t="s">
        <v>1117</v>
      </c>
      <c r="Y1" s="43"/>
      <c r="Z1" s="43"/>
      <c r="AA1" s="43"/>
      <c r="AB1" s="43"/>
      <c r="AC1" s="24"/>
      <c r="AD1" s="23"/>
      <c r="AE1" s="42" t="s">
        <v>1142</v>
      </c>
      <c r="AF1" s="42"/>
      <c r="AG1" s="42"/>
      <c r="AH1" s="42"/>
      <c r="AI1" s="23"/>
      <c r="AJ1" s="23"/>
      <c r="AK1" s="23"/>
      <c r="AL1" s="23"/>
      <c r="AM1" s="23"/>
      <c r="AN1" s="23"/>
    </row>
    <row r="2" spans="1:40" ht="29" x14ac:dyDescent="0.35">
      <c r="A2" s="5" t="s">
        <v>469</v>
      </c>
      <c r="B2" s="5" t="s">
        <v>1030</v>
      </c>
      <c r="C2" s="5" t="s">
        <v>1031</v>
      </c>
      <c r="D2" s="5" t="s">
        <v>1032</v>
      </c>
      <c r="E2" s="5" t="s">
        <v>1033</v>
      </c>
      <c r="F2" s="5" t="s">
        <v>1034</v>
      </c>
      <c r="G2" s="5" t="s">
        <v>1035</v>
      </c>
      <c r="H2" s="5" t="s">
        <v>1036</v>
      </c>
      <c r="I2" s="5" t="s">
        <v>1037</v>
      </c>
      <c r="J2" s="5"/>
      <c r="K2" s="5" t="s">
        <v>1030</v>
      </c>
      <c r="L2" s="5" t="s">
        <v>1031</v>
      </c>
      <c r="M2" s="5" t="s">
        <v>1032</v>
      </c>
      <c r="N2" s="5" t="s">
        <v>1033</v>
      </c>
      <c r="O2" s="5" t="s">
        <v>1034</v>
      </c>
      <c r="P2" s="5" t="s">
        <v>1035</v>
      </c>
      <c r="Q2" s="5" t="s">
        <v>1036</v>
      </c>
      <c r="R2" s="5" t="s">
        <v>1037</v>
      </c>
      <c r="T2" s="5" t="s">
        <v>1115</v>
      </c>
      <c r="U2" s="5" t="s">
        <v>1128</v>
      </c>
      <c r="X2" s="29" t="s">
        <v>1116</v>
      </c>
      <c r="Y2" s="29">
        <v>0</v>
      </c>
      <c r="Z2" s="29">
        <v>0.5</v>
      </c>
      <c r="AA2" s="29">
        <v>1</v>
      </c>
      <c r="AB2" s="29" t="s">
        <v>1118</v>
      </c>
      <c r="AC2" s="4"/>
      <c r="AD2" s="4"/>
      <c r="AE2" s="31" t="s">
        <v>1148</v>
      </c>
      <c r="AF2" s="31" t="s">
        <v>1127</v>
      </c>
      <c r="AG2" s="27" t="s">
        <v>1149</v>
      </c>
      <c r="AH2" s="27" t="s">
        <v>1150</v>
      </c>
      <c r="AI2" s="4"/>
      <c r="AJ2" s="4"/>
      <c r="AK2" s="4"/>
      <c r="AL2" s="4"/>
      <c r="AM2" s="4"/>
      <c r="AN2" s="9"/>
    </row>
    <row r="3" spans="1:40" x14ac:dyDescent="0.35">
      <c r="A3" s="3" t="s">
        <v>471</v>
      </c>
      <c r="B3" s="13">
        <v>1</v>
      </c>
      <c r="C3" s="13">
        <v>1</v>
      </c>
      <c r="D3" s="13">
        <v>1</v>
      </c>
      <c r="E3" s="13">
        <v>1</v>
      </c>
      <c r="F3" s="13">
        <v>1</v>
      </c>
      <c r="G3" s="13">
        <v>1</v>
      </c>
      <c r="H3" s="13">
        <v>0.5</v>
      </c>
      <c r="I3" s="14">
        <f t="shared" ref="I3:I34" si="0">SUM(B3:H3)</f>
        <v>6.5</v>
      </c>
      <c r="J3" s="6"/>
      <c r="K3">
        <v>1</v>
      </c>
      <c r="L3">
        <v>1</v>
      </c>
      <c r="M3">
        <v>0.5</v>
      </c>
      <c r="N3">
        <v>1</v>
      </c>
      <c r="O3">
        <v>1</v>
      </c>
      <c r="P3">
        <v>1</v>
      </c>
      <c r="Q3">
        <v>0.5</v>
      </c>
      <c r="R3" s="1">
        <f>SUM(K3:Q3)</f>
        <v>6</v>
      </c>
      <c r="T3" s="36">
        <f xml:space="preserve"> (I3+R3)/2</f>
        <v>6.25</v>
      </c>
      <c r="U3">
        <f>ABS(I3-R3)</f>
        <v>0.5</v>
      </c>
      <c r="X3" s="29">
        <v>0</v>
      </c>
      <c r="Y3" s="4">
        <f>COUNTIFS($B$3:$H$60,X3,$K$3:$Q$60,$Y$2)</f>
        <v>0</v>
      </c>
      <c r="Z3" s="4">
        <f>COUNTIFS($B$3:$H$60,X3,$K$3:$Q$60,$Z$2)</f>
        <v>0</v>
      </c>
      <c r="AA3" s="4">
        <f>COUNTIFS($B$3:$H$60,X3,$K$3:$Q$60,$AA$2)</f>
        <v>0</v>
      </c>
      <c r="AB3" s="29">
        <f>SUM(Y3:AA3)</f>
        <v>0</v>
      </c>
      <c r="AC3" s="4"/>
      <c r="AD3" s="4"/>
      <c r="AE3" s="3" t="s">
        <v>1143</v>
      </c>
      <c r="AF3" s="38">
        <f>Y10</f>
        <v>0.95812807881773399</v>
      </c>
      <c r="AG3" s="8" t="s">
        <v>1157</v>
      </c>
      <c r="AH3" s="3" t="s">
        <v>1156</v>
      </c>
      <c r="AI3" s="4"/>
      <c r="AJ3" s="4"/>
      <c r="AK3" s="4"/>
      <c r="AL3" s="4"/>
      <c r="AM3" s="4"/>
      <c r="AN3" s="1"/>
    </row>
    <row r="4" spans="1:40" x14ac:dyDescent="0.35">
      <c r="A4" s="3" t="s">
        <v>475</v>
      </c>
      <c r="B4" s="13">
        <v>1</v>
      </c>
      <c r="C4" s="13">
        <v>1</v>
      </c>
      <c r="D4" s="13">
        <v>1</v>
      </c>
      <c r="E4" s="13">
        <v>1</v>
      </c>
      <c r="F4" s="13">
        <v>1</v>
      </c>
      <c r="G4" s="13">
        <v>1</v>
      </c>
      <c r="H4" s="13">
        <v>1</v>
      </c>
      <c r="I4" s="14">
        <f t="shared" si="0"/>
        <v>7</v>
      </c>
      <c r="J4" s="6"/>
      <c r="K4">
        <v>1</v>
      </c>
      <c r="L4">
        <v>1</v>
      </c>
      <c r="M4">
        <v>1</v>
      </c>
      <c r="N4">
        <v>1</v>
      </c>
      <c r="O4">
        <v>1</v>
      </c>
      <c r="P4">
        <v>1</v>
      </c>
      <c r="Q4">
        <v>1</v>
      </c>
      <c r="R4" s="1">
        <f t="shared" ref="R4:R60" si="1">SUM(K4:Q4)</f>
        <v>7</v>
      </c>
      <c r="T4" s="36">
        <f t="shared" ref="T4:T60" si="2" xml:space="preserve"> (I4+R4)/2</f>
        <v>7</v>
      </c>
      <c r="U4">
        <f t="shared" ref="U4:U60" si="3">ABS(I4-R4)</f>
        <v>0</v>
      </c>
      <c r="X4" s="29">
        <v>0.5</v>
      </c>
      <c r="Y4" s="4">
        <f t="shared" ref="Y4:Y5" si="4">COUNTIFS($B$3:$H$60,X4,$K$3:$Q$60,$Y$2)</f>
        <v>0</v>
      </c>
      <c r="Z4" s="4">
        <f t="shared" ref="Z4:Z5" si="5">COUNTIFS($B$3:$H$60,X4,$K$3:$Q$60,$Z$2)</f>
        <v>31</v>
      </c>
      <c r="AA4" s="4">
        <f t="shared" ref="AA4:AA5" si="6">COUNTIFS($B$3:$H$60,X4,$K$3:$Q$60,$AA$2)</f>
        <v>6</v>
      </c>
      <c r="AB4" s="29">
        <f t="shared" ref="AB4:AB5" si="7">SUM(Y4:AA4)</f>
        <v>37</v>
      </c>
      <c r="AC4" s="4"/>
      <c r="AD4" s="4"/>
      <c r="AE4" s="3" t="s">
        <v>1125</v>
      </c>
      <c r="AF4" s="35">
        <f>Y14</f>
        <v>0.76172063798936684</v>
      </c>
      <c r="AG4" s="8" t="s">
        <v>1158</v>
      </c>
      <c r="AH4" s="3" t="s">
        <v>1156</v>
      </c>
      <c r="AI4" s="4"/>
      <c r="AJ4" s="4"/>
      <c r="AK4" s="4"/>
      <c r="AL4" s="4"/>
      <c r="AM4" s="4"/>
      <c r="AN4" s="1"/>
    </row>
    <row r="5" spans="1:40" x14ac:dyDescent="0.35">
      <c r="A5" s="3" t="s">
        <v>477</v>
      </c>
      <c r="B5" s="13">
        <v>1</v>
      </c>
      <c r="C5" s="13">
        <v>1</v>
      </c>
      <c r="D5" s="13">
        <v>1</v>
      </c>
      <c r="E5" s="13">
        <v>0.5</v>
      </c>
      <c r="F5" s="13">
        <v>1</v>
      </c>
      <c r="G5" s="13">
        <v>1</v>
      </c>
      <c r="H5" s="13">
        <v>0.5</v>
      </c>
      <c r="I5" s="14">
        <f t="shared" si="0"/>
        <v>6</v>
      </c>
      <c r="J5" s="6"/>
      <c r="K5">
        <v>1</v>
      </c>
      <c r="L5">
        <v>1</v>
      </c>
      <c r="M5">
        <v>1</v>
      </c>
      <c r="N5">
        <v>0.5</v>
      </c>
      <c r="O5">
        <v>1</v>
      </c>
      <c r="P5">
        <v>1</v>
      </c>
      <c r="Q5">
        <v>0.5</v>
      </c>
      <c r="R5" s="1">
        <f t="shared" si="1"/>
        <v>6</v>
      </c>
      <c r="T5" s="36">
        <f t="shared" si="2"/>
        <v>6</v>
      </c>
      <c r="U5">
        <f t="shared" si="3"/>
        <v>0</v>
      </c>
      <c r="X5" s="29">
        <v>1</v>
      </c>
      <c r="Y5" s="4">
        <f t="shared" si="4"/>
        <v>0</v>
      </c>
      <c r="Z5" s="4">
        <f t="shared" si="5"/>
        <v>11</v>
      </c>
      <c r="AA5" s="4">
        <f t="shared" si="6"/>
        <v>358</v>
      </c>
      <c r="AB5" s="29">
        <f t="shared" si="7"/>
        <v>369</v>
      </c>
      <c r="AC5" s="4"/>
      <c r="AD5" s="4"/>
      <c r="AE5" s="3" t="s">
        <v>1126</v>
      </c>
      <c r="AF5" s="35">
        <f>Y15</f>
        <v>0.76172063798936684</v>
      </c>
      <c r="AG5" s="8" t="s">
        <v>1158</v>
      </c>
      <c r="AH5" s="3" t="s">
        <v>1156</v>
      </c>
      <c r="AI5" s="4"/>
      <c r="AJ5" s="4"/>
      <c r="AK5" s="4"/>
      <c r="AL5" s="4"/>
      <c r="AM5" s="4"/>
      <c r="AN5" s="1"/>
    </row>
    <row r="6" spans="1:40" ht="15.5" x14ac:dyDescent="0.35">
      <c r="A6" s="3" t="s">
        <v>479</v>
      </c>
      <c r="B6" s="13">
        <v>1</v>
      </c>
      <c r="C6" s="13">
        <v>1</v>
      </c>
      <c r="D6" s="13">
        <v>1</v>
      </c>
      <c r="E6" s="13">
        <v>1</v>
      </c>
      <c r="F6" s="13">
        <v>1</v>
      </c>
      <c r="G6" s="13">
        <v>1</v>
      </c>
      <c r="H6" s="13">
        <v>1</v>
      </c>
      <c r="I6" s="14">
        <f t="shared" si="0"/>
        <v>7</v>
      </c>
      <c r="J6" s="6"/>
      <c r="K6">
        <v>1</v>
      </c>
      <c r="L6">
        <v>1</v>
      </c>
      <c r="M6">
        <v>1</v>
      </c>
      <c r="N6">
        <v>1</v>
      </c>
      <c r="O6">
        <v>1</v>
      </c>
      <c r="P6">
        <v>1</v>
      </c>
      <c r="Q6">
        <v>1</v>
      </c>
      <c r="R6" s="1">
        <f t="shared" si="1"/>
        <v>7</v>
      </c>
      <c r="T6" s="36">
        <f t="shared" si="2"/>
        <v>7</v>
      </c>
      <c r="U6">
        <f t="shared" si="3"/>
        <v>0</v>
      </c>
      <c r="X6" s="29" t="s">
        <v>1119</v>
      </c>
      <c r="Y6" s="29">
        <f>SUM(Y3:Y5)</f>
        <v>0</v>
      </c>
      <c r="Z6" s="29">
        <f t="shared" ref="Z6:AA6" si="8">SUM(Z3:Z5)</f>
        <v>42</v>
      </c>
      <c r="AA6" s="29">
        <f t="shared" si="8"/>
        <v>364</v>
      </c>
      <c r="AB6" s="30">
        <f>SUM(AB3:AB5)</f>
        <v>406</v>
      </c>
      <c r="AC6" s="4"/>
      <c r="AD6" s="4"/>
      <c r="AE6" s="3" t="s">
        <v>1144</v>
      </c>
      <c r="AF6" s="35">
        <f>Y30</f>
        <v>0.86588235294117655</v>
      </c>
      <c r="AG6" s="8" t="s">
        <v>1160</v>
      </c>
      <c r="AH6" s="3" t="s">
        <v>1155</v>
      </c>
      <c r="AI6" s="4"/>
      <c r="AJ6" s="4"/>
      <c r="AK6" s="4"/>
      <c r="AL6" s="4"/>
      <c r="AM6" s="4"/>
      <c r="AN6" s="1"/>
    </row>
    <row r="7" spans="1:40" x14ac:dyDescent="0.35">
      <c r="A7" s="3" t="s">
        <v>482</v>
      </c>
      <c r="B7" s="13">
        <v>1</v>
      </c>
      <c r="C7" s="13">
        <v>1</v>
      </c>
      <c r="D7" s="13">
        <v>1</v>
      </c>
      <c r="E7" s="13">
        <v>1</v>
      </c>
      <c r="F7" s="13">
        <v>1</v>
      </c>
      <c r="G7" s="13">
        <v>1</v>
      </c>
      <c r="H7" s="13">
        <v>1</v>
      </c>
      <c r="I7" s="14">
        <f t="shared" si="0"/>
        <v>7</v>
      </c>
      <c r="J7" s="6"/>
      <c r="K7">
        <v>1</v>
      </c>
      <c r="L7">
        <v>1</v>
      </c>
      <c r="M7">
        <v>1</v>
      </c>
      <c r="N7">
        <v>1</v>
      </c>
      <c r="O7">
        <v>1</v>
      </c>
      <c r="P7">
        <v>1</v>
      </c>
      <c r="Q7">
        <v>1</v>
      </c>
      <c r="R7" s="1">
        <f t="shared" si="1"/>
        <v>7</v>
      </c>
      <c r="T7" s="36">
        <f t="shared" si="2"/>
        <v>7</v>
      </c>
      <c r="U7">
        <f t="shared" si="3"/>
        <v>0</v>
      </c>
      <c r="X7" s="4"/>
      <c r="Y7" s="4"/>
      <c r="Z7" s="4"/>
      <c r="AA7" s="4"/>
      <c r="AB7" s="4"/>
      <c r="AC7" s="4"/>
      <c r="AD7" s="4"/>
      <c r="AE7" s="3" t="s">
        <v>1145</v>
      </c>
      <c r="AF7" s="35">
        <f>CORREL(I3:I60,R3:R60)</f>
        <v>0.87115922350847619</v>
      </c>
      <c r="AG7" s="8" t="s">
        <v>1159</v>
      </c>
      <c r="AH7" s="3" t="s">
        <v>1155</v>
      </c>
      <c r="AI7" s="4"/>
      <c r="AJ7" s="4"/>
      <c r="AK7" s="4"/>
      <c r="AL7" s="4"/>
      <c r="AM7" s="4"/>
      <c r="AN7" s="1"/>
    </row>
    <row r="8" spans="1:40" x14ac:dyDescent="0.35">
      <c r="A8" s="3" t="s">
        <v>484</v>
      </c>
      <c r="B8" s="13">
        <v>1</v>
      </c>
      <c r="C8" s="13">
        <v>1</v>
      </c>
      <c r="D8" s="13">
        <v>0.5</v>
      </c>
      <c r="E8" s="13">
        <v>1</v>
      </c>
      <c r="F8" s="13">
        <v>1</v>
      </c>
      <c r="G8" s="13">
        <v>1</v>
      </c>
      <c r="H8" s="13">
        <v>1</v>
      </c>
      <c r="I8" s="14">
        <f t="shared" si="0"/>
        <v>6.5</v>
      </c>
      <c r="J8" s="6"/>
      <c r="K8">
        <v>1</v>
      </c>
      <c r="L8">
        <v>1</v>
      </c>
      <c r="M8">
        <v>1</v>
      </c>
      <c r="N8">
        <v>1</v>
      </c>
      <c r="O8">
        <v>1</v>
      </c>
      <c r="P8">
        <v>1</v>
      </c>
      <c r="Q8">
        <v>0.5</v>
      </c>
      <c r="R8" s="1">
        <f t="shared" si="1"/>
        <v>6.5</v>
      </c>
      <c r="T8" s="36">
        <f t="shared" si="2"/>
        <v>6.5</v>
      </c>
      <c r="U8">
        <f t="shared" si="3"/>
        <v>0</v>
      </c>
      <c r="X8" s="4"/>
      <c r="Y8" s="4"/>
      <c r="Z8" s="4"/>
      <c r="AA8" s="4"/>
      <c r="AB8" s="4"/>
      <c r="AC8" s="4"/>
      <c r="AD8" s="4"/>
      <c r="AE8" s="3" t="s">
        <v>1134</v>
      </c>
      <c r="AF8" s="28">
        <f>Y23</f>
        <v>6.681034482758621</v>
      </c>
      <c r="AG8" s="3" t="s">
        <v>1151</v>
      </c>
      <c r="AH8" s="3" t="s">
        <v>1155</v>
      </c>
      <c r="AI8" s="4"/>
      <c r="AJ8" s="4"/>
      <c r="AK8" s="4"/>
      <c r="AL8" s="4"/>
      <c r="AM8" s="4"/>
      <c r="AN8" s="1"/>
    </row>
    <row r="9" spans="1:40" x14ac:dyDescent="0.35">
      <c r="A9" s="3" t="s">
        <v>487</v>
      </c>
      <c r="B9" s="13">
        <v>1</v>
      </c>
      <c r="C9" s="13">
        <v>1</v>
      </c>
      <c r="D9" s="13">
        <v>1</v>
      </c>
      <c r="E9" s="13">
        <v>1</v>
      </c>
      <c r="F9" s="13">
        <v>1</v>
      </c>
      <c r="G9" s="13">
        <v>1</v>
      </c>
      <c r="H9" s="13">
        <v>1</v>
      </c>
      <c r="I9" s="14">
        <f t="shared" si="0"/>
        <v>7</v>
      </c>
      <c r="J9" s="6"/>
      <c r="K9">
        <v>1</v>
      </c>
      <c r="L9">
        <v>1</v>
      </c>
      <c r="M9">
        <v>0.5</v>
      </c>
      <c r="N9">
        <v>1</v>
      </c>
      <c r="O9">
        <v>1</v>
      </c>
      <c r="P9">
        <v>1</v>
      </c>
      <c r="Q9">
        <v>1</v>
      </c>
      <c r="R9" s="1">
        <f t="shared" si="1"/>
        <v>6.5</v>
      </c>
      <c r="T9" s="36">
        <f t="shared" si="2"/>
        <v>6.75</v>
      </c>
      <c r="U9">
        <f t="shared" si="3"/>
        <v>0.5</v>
      </c>
      <c r="X9" s="25" t="s">
        <v>1120</v>
      </c>
      <c r="Y9" s="25" t="s">
        <v>1127</v>
      </c>
      <c r="Z9" s="4"/>
      <c r="AA9" s="4"/>
      <c r="AB9" s="4"/>
      <c r="AC9" s="4"/>
      <c r="AD9" s="4"/>
      <c r="AE9" s="3" t="s">
        <v>1146</v>
      </c>
      <c r="AF9" s="28">
        <f>_xlfn.STDEV.S(I3:I60)</f>
        <v>0.33374898465012753</v>
      </c>
      <c r="AG9" s="3" t="s">
        <v>1153</v>
      </c>
      <c r="AH9" s="3" t="s">
        <v>1155</v>
      </c>
      <c r="AI9" s="4"/>
      <c r="AJ9" s="4"/>
      <c r="AK9" s="4"/>
      <c r="AL9" s="4"/>
      <c r="AM9" s="4"/>
      <c r="AN9" s="1"/>
    </row>
    <row r="10" spans="1:40" x14ac:dyDescent="0.35">
      <c r="A10" s="3" t="s">
        <v>490</v>
      </c>
      <c r="B10" s="13">
        <v>1</v>
      </c>
      <c r="C10" s="13">
        <v>1</v>
      </c>
      <c r="D10" s="13">
        <v>0.5</v>
      </c>
      <c r="E10" s="13">
        <v>1</v>
      </c>
      <c r="F10" s="13">
        <v>1</v>
      </c>
      <c r="G10" s="13">
        <v>1</v>
      </c>
      <c r="H10" s="13">
        <v>0.5</v>
      </c>
      <c r="I10" s="14">
        <f t="shared" si="0"/>
        <v>6</v>
      </c>
      <c r="J10" s="6"/>
      <c r="K10">
        <v>1</v>
      </c>
      <c r="L10">
        <v>1</v>
      </c>
      <c r="M10">
        <v>0.5</v>
      </c>
      <c r="N10">
        <v>1</v>
      </c>
      <c r="O10">
        <v>1</v>
      </c>
      <c r="P10">
        <v>1</v>
      </c>
      <c r="Q10">
        <v>0.5</v>
      </c>
      <c r="R10" s="1">
        <f t="shared" si="1"/>
        <v>6</v>
      </c>
      <c r="T10" s="36">
        <f t="shared" si="2"/>
        <v>6</v>
      </c>
      <c r="U10">
        <f t="shared" si="3"/>
        <v>0</v>
      </c>
      <c r="X10" t="s">
        <v>1121</v>
      </c>
      <c r="Y10" s="28">
        <f>SUM(Y3,Z4,AA5)/AB6</f>
        <v>0.95812807881773399</v>
      </c>
      <c r="Z10" s="4"/>
      <c r="AA10" s="4"/>
      <c r="AB10" s="4"/>
      <c r="AC10" s="4"/>
      <c r="AD10" s="4"/>
      <c r="AE10" s="3" t="s">
        <v>1135</v>
      </c>
      <c r="AF10" s="28">
        <f>Y24</f>
        <v>6.6379310344827589</v>
      </c>
      <c r="AG10" s="3" t="s">
        <v>1152</v>
      </c>
      <c r="AH10" s="3" t="s">
        <v>1155</v>
      </c>
      <c r="AI10" s="4"/>
      <c r="AJ10" s="4"/>
      <c r="AK10" s="4"/>
      <c r="AL10" s="4"/>
      <c r="AM10" s="4"/>
      <c r="AN10" s="1"/>
    </row>
    <row r="11" spans="1:40" x14ac:dyDescent="0.35">
      <c r="A11" s="3" t="s">
        <v>493</v>
      </c>
      <c r="B11" s="13">
        <v>1</v>
      </c>
      <c r="C11" s="13">
        <v>1</v>
      </c>
      <c r="D11" s="13">
        <v>0.5</v>
      </c>
      <c r="E11" s="13">
        <v>1</v>
      </c>
      <c r="F11" s="13">
        <v>1</v>
      </c>
      <c r="G11" s="13">
        <v>1</v>
      </c>
      <c r="H11" s="13">
        <v>1</v>
      </c>
      <c r="I11" s="14">
        <f t="shared" si="0"/>
        <v>6.5</v>
      </c>
      <c r="J11" s="6"/>
      <c r="K11">
        <v>1</v>
      </c>
      <c r="L11">
        <v>1</v>
      </c>
      <c r="M11">
        <v>1</v>
      </c>
      <c r="N11">
        <v>1</v>
      </c>
      <c r="O11">
        <v>1</v>
      </c>
      <c r="P11">
        <v>1</v>
      </c>
      <c r="Q11">
        <v>0.5</v>
      </c>
      <c r="R11" s="1">
        <f t="shared" si="1"/>
        <v>6.5</v>
      </c>
      <c r="T11" s="36">
        <f t="shared" si="2"/>
        <v>6.5</v>
      </c>
      <c r="U11">
        <f t="shared" si="3"/>
        <v>0</v>
      </c>
      <c r="X11" t="s">
        <v>1122</v>
      </c>
      <c r="Y11" s="28">
        <f>(AB3*Y6+AB4*Z6+AB5*AA6)/(AB6^2)</f>
        <v>0.82427382367929336</v>
      </c>
      <c r="Z11" s="4"/>
      <c r="AA11" s="4"/>
      <c r="AB11" s="4"/>
      <c r="AC11" s="4"/>
      <c r="AD11" s="4"/>
      <c r="AE11" s="3" t="s">
        <v>1147</v>
      </c>
      <c r="AF11" s="28">
        <f>_xlfn.STDEV.S(R3:R60)</f>
        <v>0.33499284423197795</v>
      </c>
      <c r="AG11" s="3" t="s">
        <v>1154</v>
      </c>
      <c r="AH11" s="3" t="s">
        <v>1155</v>
      </c>
      <c r="AI11" s="4"/>
      <c r="AJ11" s="4"/>
      <c r="AK11" s="4"/>
      <c r="AL11" s="4"/>
      <c r="AM11" s="4"/>
      <c r="AN11" s="1"/>
    </row>
    <row r="12" spans="1:40" x14ac:dyDescent="0.35">
      <c r="A12" s="3" t="s">
        <v>496</v>
      </c>
      <c r="B12" s="13">
        <v>1</v>
      </c>
      <c r="C12" s="13">
        <v>1</v>
      </c>
      <c r="D12" s="13">
        <v>1</v>
      </c>
      <c r="E12" s="13">
        <v>1</v>
      </c>
      <c r="F12" s="13">
        <v>1</v>
      </c>
      <c r="G12" s="13">
        <v>1</v>
      </c>
      <c r="H12" s="13">
        <v>1</v>
      </c>
      <c r="I12" s="14">
        <f t="shared" si="0"/>
        <v>7</v>
      </c>
      <c r="J12" s="6"/>
      <c r="K12">
        <v>1</v>
      </c>
      <c r="L12">
        <v>1</v>
      </c>
      <c r="M12">
        <v>1</v>
      </c>
      <c r="N12">
        <v>1</v>
      </c>
      <c r="O12">
        <v>1</v>
      </c>
      <c r="P12">
        <v>1</v>
      </c>
      <c r="Q12">
        <v>1</v>
      </c>
      <c r="R12" s="1">
        <f t="shared" si="1"/>
        <v>7</v>
      </c>
      <c r="T12" s="36">
        <f t="shared" si="2"/>
        <v>7</v>
      </c>
      <c r="U12">
        <f t="shared" si="3"/>
        <v>0</v>
      </c>
      <c r="X12" t="s">
        <v>1123</v>
      </c>
      <c r="Y12" s="28">
        <f>(0*Y3+0.25*Z3+1*AA3+0.25*Y4+0*Z4+0.25*AA4+1*Y5+0.25*Z5+0*AA5)/AB6</f>
        <v>1.0467980295566502E-2</v>
      </c>
      <c r="Z12" s="4"/>
      <c r="AA12" s="4"/>
      <c r="AB12" s="4"/>
      <c r="AC12" s="4"/>
      <c r="AD12" s="4"/>
      <c r="AE12" s="4"/>
      <c r="AF12" s="4"/>
      <c r="AG12" s="4"/>
      <c r="AH12" s="4"/>
      <c r="AI12" s="4"/>
      <c r="AJ12" s="4"/>
      <c r="AK12" s="4"/>
      <c r="AL12" s="4"/>
      <c r="AM12" s="4"/>
      <c r="AN12" s="1"/>
    </row>
    <row r="13" spans="1:40" x14ac:dyDescent="0.35">
      <c r="A13" s="3" t="s">
        <v>498</v>
      </c>
      <c r="B13" s="13">
        <v>1</v>
      </c>
      <c r="C13" s="13">
        <v>1</v>
      </c>
      <c r="D13" s="13">
        <v>1</v>
      </c>
      <c r="E13" s="13">
        <v>1</v>
      </c>
      <c r="F13" s="13">
        <v>1</v>
      </c>
      <c r="G13" s="13">
        <v>1</v>
      </c>
      <c r="H13" s="13">
        <v>0.5</v>
      </c>
      <c r="I13" s="14">
        <f t="shared" si="0"/>
        <v>6.5</v>
      </c>
      <c r="J13" s="6"/>
      <c r="K13">
        <v>1</v>
      </c>
      <c r="L13">
        <v>1</v>
      </c>
      <c r="M13">
        <v>1</v>
      </c>
      <c r="N13">
        <v>1</v>
      </c>
      <c r="O13">
        <v>1</v>
      </c>
      <c r="P13">
        <v>1</v>
      </c>
      <c r="Q13">
        <v>0.5</v>
      </c>
      <c r="R13" s="1">
        <f t="shared" si="1"/>
        <v>6.5</v>
      </c>
      <c r="T13" s="36">
        <f t="shared" si="2"/>
        <v>6.5</v>
      </c>
      <c r="U13">
        <f t="shared" si="3"/>
        <v>0</v>
      </c>
      <c r="X13" t="s">
        <v>1124</v>
      </c>
      <c r="Y13" s="28">
        <f>(0*AB3*Y6+0.25*AB3*Z6+1*AB3*AA6+0.25*AB4*Y6+0*AB4*Z6+0.25*AB4*AA6+1*AB5*Y6+0.25*AB5*Z6+0*AB5*AA6)/(AB6^2)</f>
        <v>4.393154408017666E-2</v>
      </c>
      <c r="Z13" s="4"/>
      <c r="AA13" s="4"/>
      <c r="AB13" s="4"/>
      <c r="AC13" s="4"/>
      <c r="AD13" s="4"/>
      <c r="AE13" s="4"/>
      <c r="AF13" s="4"/>
      <c r="AH13" s="4"/>
      <c r="AI13" s="4"/>
      <c r="AJ13" s="4"/>
      <c r="AK13" s="4"/>
      <c r="AL13" s="4"/>
      <c r="AM13" s="4"/>
      <c r="AN13" s="1"/>
    </row>
    <row r="14" spans="1:40" x14ac:dyDescent="0.35">
      <c r="A14" s="3" t="s">
        <v>501</v>
      </c>
      <c r="B14" s="13">
        <v>1</v>
      </c>
      <c r="C14" s="13">
        <v>1</v>
      </c>
      <c r="D14" s="13">
        <v>1</v>
      </c>
      <c r="E14" s="13">
        <v>1</v>
      </c>
      <c r="F14" s="13">
        <v>1</v>
      </c>
      <c r="G14" s="13">
        <v>1</v>
      </c>
      <c r="H14" s="13">
        <v>1</v>
      </c>
      <c r="I14" s="14">
        <f t="shared" si="0"/>
        <v>7</v>
      </c>
      <c r="J14" s="6"/>
      <c r="K14">
        <v>1</v>
      </c>
      <c r="L14">
        <v>1</v>
      </c>
      <c r="M14">
        <v>1</v>
      </c>
      <c r="N14">
        <v>1</v>
      </c>
      <c r="O14">
        <v>1</v>
      </c>
      <c r="P14">
        <v>1</v>
      </c>
      <c r="Q14">
        <v>0.5</v>
      </c>
      <c r="R14" s="1">
        <f t="shared" si="1"/>
        <v>6.5</v>
      </c>
      <c r="T14" s="36">
        <f t="shared" si="2"/>
        <v>6.75</v>
      </c>
      <c r="U14">
        <f t="shared" si="3"/>
        <v>0.5</v>
      </c>
      <c r="X14" t="s">
        <v>1125</v>
      </c>
      <c r="Y14" s="28">
        <f>(Y10-Y11)/(1-Y11)</f>
        <v>0.76172063798936684</v>
      </c>
      <c r="Z14" s="4"/>
      <c r="AA14" s="4"/>
      <c r="AB14" s="4"/>
      <c r="AC14" s="4"/>
      <c r="AD14" s="4"/>
      <c r="AE14" s="4"/>
      <c r="AF14" s="4"/>
      <c r="AH14" s="4"/>
      <c r="AI14" s="4"/>
      <c r="AJ14" s="4"/>
      <c r="AK14" s="4"/>
      <c r="AL14" s="4"/>
      <c r="AM14" s="4"/>
      <c r="AN14" s="1"/>
    </row>
    <row r="15" spans="1:40" x14ac:dyDescent="0.35">
      <c r="A15" s="3" t="s">
        <v>504</v>
      </c>
      <c r="B15" s="13">
        <v>1</v>
      </c>
      <c r="C15" s="13">
        <v>1</v>
      </c>
      <c r="D15" s="13">
        <v>1</v>
      </c>
      <c r="E15" s="13">
        <v>1</v>
      </c>
      <c r="F15" s="13">
        <v>1</v>
      </c>
      <c r="G15" s="13">
        <v>1</v>
      </c>
      <c r="H15" s="13">
        <v>0.5</v>
      </c>
      <c r="I15" s="14">
        <f t="shared" si="0"/>
        <v>6.5</v>
      </c>
      <c r="J15" s="6"/>
      <c r="K15">
        <v>1</v>
      </c>
      <c r="L15">
        <v>1</v>
      </c>
      <c r="M15">
        <v>1</v>
      </c>
      <c r="N15">
        <v>1</v>
      </c>
      <c r="O15">
        <v>1</v>
      </c>
      <c r="P15">
        <v>1</v>
      </c>
      <c r="Q15">
        <v>0.5</v>
      </c>
      <c r="R15" s="1">
        <f t="shared" si="1"/>
        <v>6.5</v>
      </c>
      <c r="T15" s="36">
        <f t="shared" si="2"/>
        <v>6.5</v>
      </c>
      <c r="U15">
        <f t="shared" si="3"/>
        <v>0</v>
      </c>
      <c r="X15" t="s">
        <v>1126</v>
      </c>
      <c r="Y15" s="28">
        <f>1-(Y12/Y13)</f>
        <v>0.76172063798936684</v>
      </c>
      <c r="Z15" s="4"/>
      <c r="AA15" s="4"/>
      <c r="AB15" s="4"/>
      <c r="AC15" s="4"/>
      <c r="AD15" s="4"/>
      <c r="AE15" s="4"/>
      <c r="AF15" s="4"/>
      <c r="AH15" s="4"/>
      <c r="AI15" s="4"/>
      <c r="AJ15" s="4"/>
      <c r="AK15" s="4"/>
      <c r="AL15" s="4"/>
      <c r="AM15" s="4"/>
      <c r="AN15" s="1"/>
    </row>
    <row r="16" spans="1:40" x14ac:dyDescent="0.35">
      <c r="A16" s="3" t="s">
        <v>506</v>
      </c>
      <c r="B16" s="13">
        <v>1</v>
      </c>
      <c r="C16" s="13">
        <v>1</v>
      </c>
      <c r="D16" s="13">
        <v>1</v>
      </c>
      <c r="E16" s="13">
        <v>1</v>
      </c>
      <c r="F16" s="13">
        <v>1</v>
      </c>
      <c r="G16" s="13">
        <v>1</v>
      </c>
      <c r="H16" s="13">
        <v>0.5</v>
      </c>
      <c r="I16" s="14">
        <f t="shared" si="0"/>
        <v>6.5</v>
      </c>
      <c r="J16" s="6"/>
      <c r="K16">
        <v>1</v>
      </c>
      <c r="L16">
        <v>1</v>
      </c>
      <c r="M16">
        <v>1</v>
      </c>
      <c r="N16">
        <v>1</v>
      </c>
      <c r="O16">
        <v>1</v>
      </c>
      <c r="P16">
        <v>1</v>
      </c>
      <c r="Q16">
        <v>0.5</v>
      </c>
      <c r="R16" s="1">
        <f t="shared" si="1"/>
        <v>6.5</v>
      </c>
      <c r="T16" s="36">
        <f t="shared" si="2"/>
        <v>6.5</v>
      </c>
      <c r="U16">
        <f t="shared" si="3"/>
        <v>0</v>
      </c>
      <c r="Y16" s="4"/>
      <c r="Z16" s="4"/>
      <c r="AA16" s="4"/>
      <c r="AB16" s="4"/>
      <c r="AC16" s="4"/>
      <c r="AD16" s="4"/>
      <c r="AE16" s="4"/>
      <c r="AF16" s="4"/>
      <c r="AH16" s="4"/>
      <c r="AI16" s="4"/>
      <c r="AJ16" s="4"/>
      <c r="AK16" s="4"/>
      <c r="AL16" s="4"/>
      <c r="AM16" s="4"/>
      <c r="AN16" s="1"/>
    </row>
    <row r="17" spans="1:40" x14ac:dyDescent="0.35">
      <c r="A17" s="3" t="s">
        <v>509</v>
      </c>
      <c r="B17" s="13">
        <v>1</v>
      </c>
      <c r="C17" s="13">
        <v>1</v>
      </c>
      <c r="D17" s="13">
        <v>1</v>
      </c>
      <c r="E17" s="13">
        <v>1</v>
      </c>
      <c r="F17" s="13">
        <v>1</v>
      </c>
      <c r="G17" s="13">
        <v>1</v>
      </c>
      <c r="H17" s="13">
        <v>0.5</v>
      </c>
      <c r="I17" s="14">
        <f t="shared" si="0"/>
        <v>6.5</v>
      </c>
      <c r="J17" s="6"/>
      <c r="K17">
        <v>1</v>
      </c>
      <c r="L17">
        <v>1</v>
      </c>
      <c r="M17">
        <v>0.5</v>
      </c>
      <c r="N17">
        <v>1</v>
      </c>
      <c r="O17">
        <v>1</v>
      </c>
      <c r="P17">
        <v>1</v>
      </c>
      <c r="Q17">
        <v>1</v>
      </c>
      <c r="R17" s="1">
        <f t="shared" si="1"/>
        <v>6.5</v>
      </c>
      <c r="T17" s="36">
        <f t="shared" si="2"/>
        <v>6.5</v>
      </c>
      <c r="U17">
        <f t="shared" si="3"/>
        <v>0</v>
      </c>
      <c r="Y17" s="4"/>
      <c r="Z17" s="4"/>
      <c r="AA17" s="4"/>
      <c r="AB17" s="4"/>
      <c r="AC17" s="4"/>
      <c r="AD17" s="4"/>
      <c r="AE17" s="4"/>
      <c r="AF17" s="4"/>
      <c r="AH17" s="4"/>
      <c r="AI17" s="4"/>
      <c r="AJ17" s="4"/>
      <c r="AK17" s="4"/>
      <c r="AL17" s="4"/>
      <c r="AM17" s="4"/>
      <c r="AN17" s="1"/>
    </row>
    <row r="18" spans="1:40" ht="14.5" customHeight="1" x14ac:dyDescent="0.35">
      <c r="A18" s="3" t="s">
        <v>512</v>
      </c>
      <c r="B18" s="13">
        <v>1</v>
      </c>
      <c r="C18" s="13">
        <v>1</v>
      </c>
      <c r="D18" s="13">
        <v>1</v>
      </c>
      <c r="E18" s="13">
        <v>1</v>
      </c>
      <c r="F18" s="13">
        <v>1</v>
      </c>
      <c r="G18" s="13">
        <v>1</v>
      </c>
      <c r="H18" s="13">
        <v>1</v>
      </c>
      <c r="I18" s="14">
        <f t="shared" si="0"/>
        <v>7</v>
      </c>
      <c r="J18" s="6"/>
      <c r="K18">
        <v>1</v>
      </c>
      <c r="L18">
        <v>1</v>
      </c>
      <c r="M18">
        <v>0.5</v>
      </c>
      <c r="N18">
        <v>1</v>
      </c>
      <c r="O18">
        <v>1</v>
      </c>
      <c r="P18">
        <v>1</v>
      </c>
      <c r="Q18">
        <v>1</v>
      </c>
      <c r="R18" s="1">
        <f t="shared" si="1"/>
        <v>6.5</v>
      </c>
      <c r="T18" s="36">
        <f t="shared" si="2"/>
        <v>6.75</v>
      </c>
      <c r="U18">
        <f t="shared" si="3"/>
        <v>0.5</v>
      </c>
      <c r="X18" s="41" t="s">
        <v>1129</v>
      </c>
      <c r="Y18" s="41"/>
      <c r="Z18" s="32"/>
      <c r="AA18" s="32"/>
      <c r="AB18" s="2"/>
      <c r="AC18" s="2"/>
      <c r="AD18" s="2"/>
      <c r="AE18" s="2"/>
      <c r="AF18" s="2"/>
      <c r="AG18" s="2"/>
      <c r="AH18" s="2"/>
      <c r="AI18" s="2"/>
      <c r="AJ18" s="2"/>
      <c r="AK18" s="2"/>
      <c r="AL18" s="2"/>
      <c r="AM18" s="2"/>
      <c r="AN18" s="2"/>
    </row>
    <row r="19" spans="1:40" x14ac:dyDescent="0.35">
      <c r="A19" s="3" t="s">
        <v>515</v>
      </c>
      <c r="B19" s="13">
        <v>1</v>
      </c>
      <c r="C19" s="13">
        <v>1</v>
      </c>
      <c r="D19" s="13">
        <v>1</v>
      </c>
      <c r="E19" s="13">
        <v>1</v>
      </c>
      <c r="F19" s="13">
        <v>1</v>
      </c>
      <c r="G19" s="13">
        <v>1</v>
      </c>
      <c r="H19" s="13">
        <v>0.5</v>
      </c>
      <c r="I19" s="14">
        <f t="shared" si="0"/>
        <v>6.5</v>
      </c>
      <c r="J19" s="6"/>
      <c r="K19">
        <v>1</v>
      </c>
      <c r="L19">
        <v>1</v>
      </c>
      <c r="M19">
        <v>1</v>
      </c>
      <c r="N19">
        <v>1</v>
      </c>
      <c r="O19">
        <v>1</v>
      </c>
      <c r="P19">
        <v>1</v>
      </c>
      <c r="Q19">
        <v>0.5</v>
      </c>
      <c r="R19" s="1">
        <f t="shared" si="1"/>
        <v>6.5</v>
      </c>
      <c r="T19" s="36">
        <f t="shared" si="2"/>
        <v>6.5</v>
      </c>
      <c r="U19">
        <f t="shared" si="3"/>
        <v>0</v>
      </c>
      <c r="X19" s="31" t="s">
        <v>1130</v>
      </c>
      <c r="Y19" s="31" t="s">
        <v>1127</v>
      </c>
    </row>
    <row r="20" spans="1:40" ht="15.5" x14ac:dyDescent="0.35">
      <c r="A20" s="3" t="s">
        <v>518</v>
      </c>
      <c r="B20" s="13">
        <v>1</v>
      </c>
      <c r="C20" s="13">
        <v>1</v>
      </c>
      <c r="D20" s="13">
        <v>1</v>
      </c>
      <c r="E20" s="13">
        <v>1</v>
      </c>
      <c r="F20" s="13">
        <v>1</v>
      </c>
      <c r="G20" s="13">
        <v>1</v>
      </c>
      <c r="H20" s="13">
        <v>1</v>
      </c>
      <c r="I20" s="14">
        <f t="shared" si="0"/>
        <v>7</v>
      </c>
      <c r="J20" s="6"/>
      <c r="K20">
        <v>1</v>
      </c>
      <c r="L20">
        <v>1</v>
      </c>
      <c r="M20">
        <v>1</v>
      </c>
      <c r="N20">
        <v>1</v>
      </c>
      <c r="O20">
        <v>1</v>
      </c>
      <c r="P20">
        <v>1</v>
      </c>
      <c r="Q20">
        <v>1</v>
      </c>
      <c r="R20" s="1">
        <f t="shared" si="1"/>
        <v>7</v>
      </c>
      <c r="T20" s="36">
        <f t="shared" si="2"/>
        <v>7</v>
      </c>
      <c r="U20">
        <f t="shared" si="3"/>
        <v>0</v>
      </c>
      <c r="X20" s="26" t="s">
        <v>1131</v>
      </c>
      <c r="Y20" s="34">
        <v>58</v>
      </c>
      <c r="Z20" s="20"/>
      <c r="AA20" s="20"/>
      <c r="AB20" s="20"/>
      <c r="AC20" s="20"/>
      <c r="AD20" s="20"/>
      <c r="AE20" s="20"/>
      <c r="AF20" s="20"/>
      <c r="AG20" s="20"/>
      <c r="AH20" s="20"/>
      <c r="AI20" s="20"/>
      <c r="AJ20" s="20"/>
      <c r="AK20" s="20"/>
      <c r="AL20" s="20"/>
      <c r="AM20" s="20"/>
      <c r="AN20" s="20"/>
    </row>
    <row r="21" spans="1:40" x14ac:dyDescent="0.35">
      <c r="A21" s="3" t="s">
        <v>521</v>
      </c>
      <c r="B21" s="13">
        <v>1</v>
      </c>
      <c r="C21" s="13">
        <v>1</v>
      </c>
      <c r="D21" s="13">
        <v>1</v>
      </c>
      <c r="E21" s="13">
        <v>1</v>
      </c>
      <c r="F21" s="13">
        <v>1</v>
      </c>
      <c r="G21" s="13">
        <v>1</v>
      </c>
      <c r="H21" s="13">
        <v>1</v>
      </c>
      <c r="I21" s="14">
        <f t="shared" si="0"/>
        <v>7</v>
      </c>
      <c r="J21" s="6"/>
      <c r="K21">
        <v>1</v>
      </c>
      <c r="L21">
        <v>1</v>
      </c>
      <c r="M21">
        <v>1</v>
      </c>
      <c r="N21">
        <v>1</v>
      </c>
      <c r="O21">
        <v>1</v>
      </c>
      <c r="P21">
        <v>1</v>
      </c>
      <c r="Q21">
        <v>1</v>
      </c>
      <c r="R21" s="1">
        <f t="shared" si="1"/>
        <v>7</v>
      </c>
      <c r="T21" s="36">
        <f t="shared" si="2"/>
        <v>7</v>
      </c>
      <c r="U21">
        <f t="shared" si="3"/>
        <v>0</v>
      </c>
      <c r="X21" s="26" t="s">
        <v>1132</v>
      </c>
      <c r="Y21" s="21">
        <v>2</v>
      </c>
      <c r="Z21" s="21"/>
      <c r="AA21" s="21"/>
      <c r="AB21" s="21"/>
      <c r="AC21" s="21"/>
      <c r="AD21" s="21"/>
      <c r="AE21" s="21"/>
      <c r="AF21" s="21"/>
      <c r="AG21" s="21"/>
      <c r="AH21" s="21"/>
      <c r="AI21" s="21"/>
      <c r="AJ21" s="21"/>
      <c r="AK21" s="21"/>
      <c r="AL21" s="21"/>
      <c r="AM21" s="21"/>
      <c r="AN21" s="22"/>
    </row>
    <row r="22" spans="1:40" x14ac:dyDescent="0.35">
      <c r="A22" s="3" t="s">
        <v>523</v>
      </c>
      <c r="B22" s="13">
        <v>1</v>
      </c>
      <c r="C22" s="13">
        <v>1</v>
      </c>
      <c r="D22" s="13">
        <v>1</v>
      </c>
      <c r="E22" s="13">
        <v>1</v>
      </c>
      <c r="F22" s="13">
        <v>1</v>
      </c>
      <c r="G22" s="13">
        <v>1</v>
      </c>
      <c r="H22" s="13">
        <v>0.5</v>
      </c>
      <c r="I22" s="14">
        <f t="shared" si="0"/>
        <v>6.5</v>
      </c>
      <c r="J22" s="6"/>
      <c r="K22">
        <v>1</v>
      </c>
      <c r="L22">
        <v>1</v>
      </c>
      <c r="M22">
        <v>1</v>
      </c>
      <c r="N22">
        <v>1</v>
      </c>
      <c r="O22">
        <v>1</v>
      </c>
      <c r="P22">
        <v>1</v>
      </c>
      <c r="Q22">
        <v>0.5</v>
      </c>
      <c r="R22" s="1">
        <f t="shared" si="1"/>
        <v>6.5</v>
      </c>
      <c r="T22" s="36">
        <f t="shared" si="2"/>
        <v>6.5</v>
      </c>
      <c r="U22">
        <f t="shared" si="3"/>
        <v>0</v>
      </c>
      <c r="X22" s="26" t="s">
        <v>1133</v>
      </c>
      <c r="Y22" s="35">
        <f>AVERAGE(I3:I60,R3:R60)</f>
        <v>6.6594827586206895</v>
      </c>
      <c r="Z22" s="21"/>
      <c r="AA22" s="21"/>
      <c r="AB22" s="21"/>
      <c r="AC22" s="21"/>
      <c r="AD22" s="21"/>
      <c r="AE22" s="21"/>
      <c r="AF22" s="21"/>
      <c r="AG22" s="21"/>
      <c r="AH22" s="21"/>
      <c r="AI22" s="21"/>
      <c r="AJ22" s="21"/>
      <c r="AK22" s="21"/>
      <c r="AL22" s="21"/>
      <c r="AM22" s="21"/>
      <c r="AN22" s="22"/>
    </row>
    <row r="23" spans="1:40" x14ac:dyDescent="0.35">
      <c r="A23" s="3" t="s">
        <v>526</v>
      </c>
      <c r="B23" s="13">
        <v>1</v>
      </c>
      <c r="C23" s="13">
        <v>1</v>
      </c>
      <c r="D23" s="13">
        <v>1</v>
      </c>
      <c r="E23" s="13">
        <v>1</v>
      </c>
      <c r="F23" s="13">
        <v>1</v>
      </c>
      <c r="G23" s="13">
        <v>1</v>
      </c>
      <c r="H23" s="13">
        <v>1</v>
      </c>
      <c r="I23" s="14">
        <f t="shared" si="0"/>
        <v>7</v>
      </c>
      <c r="J23" s="6"/>
      <c r="K23">
        <v>1</v>
      </c>
      <c r="L23">
        <v>1</v>
      </c>
      <c r="M23">
        <v>1</v>
      </c>
      <c r="N23">
        <v>1</v>
      </c>
      <c r="O23">
        <v>1</v>
      </c>
      <c r="P23">
        <v>1</v>
      </c>
      <c r="Q23">
        <v>1</v>
      </c>
      <c r="R23" s="1">
        <f t="shared" si="1"/>
        <v>7</v>
      </c>
      <c r="T23" s="36">
        <f t="shared" si="2"/>
        <v>7</v>
      </c>
      <c r="U23">
        <f t="shared" si="3"/>
        <v>0</v>
      </c>
      <c r="X23" s="26" t="s">
        <v>1134</v>
      </c>
      <c r="Y23" s="35">
        <f>AVERAGE(I3:I60)</f>
        <v>6.681034482758621</v>
      </c>
      <c r="Z23" s="21"/>
      <c r="AA23" s="21"/>
      <c r="AB23" s="21"/>
      <c r="AC23" s="21"/>
      <c r="AD23" s="21"/>
      <c r="AE23" s="21"/>
      <c r="AF23" s="21"/>
      <c r="AG23" s="21"/>
      <c r="AH23" s="21"/>
      <c r="AI23" s="21"/>
      <c r="AJ23" s="21"/>
      <c r="AK23" s="21"/>
      <c r="AL23" s="21"/>
      <c r="AM23" s="21"/>
      <c r="AN23" s="22"/>
    </row>
    <row r="24" spans="1:40" x14ac:dyDescent="0.35">
      <c r="A24" s="3" t="s">
        <v>529</v>
      </c>
      <c r="B24" s="13">
        <v>1</v>
      </c>
      <c r="C24" s="13">
        <v>1</v>
      </c>
      <c r="D24" s="13">
        <v>1</v>
      </c>
      <c r="E24" s="13">
        <v>1</v>
      </c>
      <c r="F24" s="13">
        <v>1</v>
      </c>
      <c r="G24" s="13">
        <v>1</v>
      </c>
      <c r="H24" s="13">
        <v>0.5</v>
      </c>
      <c r="I24" s="14">
        <f t="shared" si="0"/>
        <v>6.5</v>
      </c>
      <c r="J24" s="6"/>
      <c r="K24">
        <v>1</v>
      </c>
      <c r="L24">
        <v>1</v>
      </c>
      <c r="M24">
        <v>1</v>
      </c>
      <c r="N24">
        <v>1</v>
      </c>
      <c r="O24">
        <v>1</v>
      </c>
      <c r="P24">
        <v>1</v>
      </c>
      <c r="Q24">
        <v>0.5</v>
      </c>
      <c r="R24" s="1">
        <f t="shared" si="1"/>
        <v>6.5</v>
      </c>
      <c r="T24" s="36">
        <f t="shared" si="2"/>
        <v>6.5</v>
      </c>
      <c r="U24">
        <f t="shared" si="3"/>
        <v>0</v>
      </c>
      <c r="X24" s="26" t="s">
        <v>1135</v>
      </c>
      <c r="Y24" s="35">
        <f>AVERAGE(R3:R60)</f>
        <v>6.6379310344827589</v>
      </c>
      <c r="Z24" s="21"/>
      <c r="AA24" s="21"/>
      <c r="AB24" s="21"/>
      <c r="AC24" s="21"/>
      <c r="AD24" s="21"/>
      <c r="AE24" s="21"/>
      <c r="AF24" s="21"/>
      <c r="AG24" s="21"/>
      <c r="AH24" s="21"/>
      <c r="AI24" s="21"/>
      <c r="AJ24" s="21"/>
      <c r="AK24" s="21"/>
      <c r="AL24" s="21"/>
      <c r="AM24" s="21"/>
      <c r="AN24" s="22"/>
    </row>
    <row r="25" spans="1:40" x14ac:dyDescent="0.35">
      <c r="A25" s="3" t="s">
        <v>532</v>
      </c>
      <c r="B25" s="13">
        <v>1</v>
      </c>
      <c r="C25" s="13">
        <v>1</v>
      </c>
      <c r="D25" s="13">
        <v>1</v>
      </c>
      <c r="E25" s="13">
        <v>1</v>
      </c>
      <c r="F25" s="13">
        <v>1</v>
      </c>
      <c r="G25" s="13">
        <v>1</v>
      </c>
      <c r="H25" s="13">
        <v>1</v>
      </c>
      <c r="I25" s="14">
        <f t="shared" si="0"/>
        <v>7</v>
      </c>
      <c r="J25" s="6"/>
      <c r="K25">
        <v>1</v>
      </c>
      <c r="L25">
        <v>1</v>
      </c>
      <c r="M25">
        <v>1</v>
      </c>
      <c r="N25">
        <v>1</v>
      </c>
      <c r="O25">
        <v>1</v>
      </c>
      <c r="P25">
        <v>1</v>
      </c>
      <c r="Q25">
        <v>0.5</v>
      </c>
      <c r="R25" s="1">
        <f t="shared" si="1"/>
        <v>6.5</v>
      </c>
      <c r="T25" s="36">
        <f t="shared" si="2"/>
        <v>6.75</v>
      </c>
      <c r="U25">
        <f t="shared" si="3"/>
        <v>0.5</v>
      </c>
      <c r="X25" s="26" t="s">
        <v>1136</v>
      </c>
      <c r="Y25" s="35" cm="1">
        <f t="array" ref="Y25">Y21*SUMPRODUCT((T3:T60-Y22)^2)/(Y20-1)</f>
        <v>0.20920296430731986</v>
      </c>
      <c r="Z25" s="21"/>
      <c r="AA25" s="21"/>
      <c r="AB25" s="21"/>
      <c r="AC25" s="21"/>
      <c r="AD25" s="21"/>
      <c r="AE25" s="21"/>
      <c r="AF25" s="21"/>
      <c r="AG25" s="21"/>
      <c r="AH25" s="21"/>
      <c r="AI25" s="21"/>
      <c r="AJ25" s="21"/>
      <c r="AK25" s="21"/>
      <c r="AL25" s="21"/>
      <c r="AM25" s="21"/>
      <c r="AN25" s="22"/>
    </row>
    <row r="26" spans="1:40" ht="29" x14ac:dyDescent="0.35">
      <c r="A26" s="3" t="s">
        <v>535</v>
      </c>
      <c r="B26" s="13">
        <v>1</v>
      </c>
      <c r="C26" s="13">
        <v>1</v>
      </c>
      <c r="D26" s="13">
        <v>1</v>
      </c>
      <c r="E26" s="13">
        <v>1</v>
      </c>
      <c r="F26" s="13">
        <v>1</v>
      </c>
      <c r="G26" s="13">
        <v>1</v>
      </c>
      <c r="H26" s="13">
        <v>1</v>
      </c>
      <c r="I26" s="14">
        <f t="shared" si="0"/>
        <v>7</v>
      </c>
      <c r="J26" s="6"/>
      <c r="K26">
        <v>1</v>
      </c>
      <c r="L26">
        <v>1</v>
      </c>
      <c r="M26">
        <v>1</v>
      </c>
      <c r="N26">
        <v>1</v>
      </c>
      <c r="O26">
        <v>1</v>
      </c>
      <c r="P26">
        <v>1</v>
      </c>
      <c r="Q26">
        <v>1</v>
      </c>
      <c r="R26" s="1">
        <f t="shared" si="1"/>
        <v>7</v>
      </c>
      <c r="T26" s="36">
        <f t="shared" si="2"/>
        <v>7</v>
      </c>
      <c r="U26">
        <f t="shared" si="3"/>
        <v>0</v>
      </c>
      <c r="X26" s="26" t="s">
        <v>1137</v>
      </c>
      <c r="Y26" s="35">
        <f>Y20*((Y23-Y22)^2+(Y24-Y22)^2)/(Y21-1)</f>
        <v>5.3879310344827659E-2</v>
      </c>
      <c r="Z26" s="21"/>
      <c r="AA26" s="21"/>
      <c r="AB26" s="21"/>
      <c r="AC26" s="21"/>
      <c r="AD26" s="21"/>
      <c r="AE26" s="21"/>
      <c r="AF26" s="21"/>
      <c r="AG26" s="21"/>
      <c r="AH26" s="21"/>
      <c r="AI26" s="21"/>
      <c r="AJ26" s="21"/>
      <c r="AK26" s="21"/>
      <c r="AL26" s="21"/>
      <c r="AM26" s="21"/>
      <c r="AN26" s="22"/>
    </row>
    <row r="27" spans="1:40" x14ac:dyDescent="0.35">
      <c r="A27" s="3" t="s">
        <v>537</v>
      </c>
      <c r="B27" s="13">
        <v>1</v>
      </c>
      <c r="C27" s="13">
        <v>1</v>
      </c>
      <c r="D27" s="13">
        <v>1</v>
      </c>
      <c r="E27" s="13">
        <v>1</v>
      </c>
      <c r="F27" s="13">
        <v>1</v>
      </c>
      <c r="G27" s="13">
        <v>1</v>
      </c>
      <c r="H27" s="13">
        <v>1</v>
      </c>
      <c r="I27" s="14">
        <f t="shared" si="0"/>
        <v>7</v>
      </c>
      <c r="J27" s="6"/>
      <c r="K27">
        <v>1</v>
      </c>
      <c r="L27">
        <v>1</v>
      </c>
      <c r="M27">
        <v>1</v>
      </c>
      <c r="N27">
        <v>1</v>
      </c>
      <c r="O27">
        <v>1</v>
      </c>
      <c r="P27">
        <v>1</v>
      </c>
      <c r="Q27">
        <v>1</v>
      </c>
      <c r="R27" s="1">
        <f t="shared" si="1"/>
        <v>7</v>
      </c>
      <c r="T27" s="36">
        <f t="shared" si="2"/>
        <v>7</v>
      </c>
      <c r="U27">
        <f t="shared" si="3"/>
        <v>0</v>
      </c>
      <c r="X27" s="26" t="s">
        <v>1138</v>
      </c>
      <c r="Y27" s="35" cm="1">
        <f t="array" ref="Y27">SUMPRODUCT((I3:I60-T3:T60-Y23+Y22)^2+(R3:R60-T3:T60-Y24+Y22)^2)/(Y20-1)*(Y21-1)</f>
        <v>1.440562613430125E-2</v>
      </c>
      <c r="Z27" s="21"/>
      <c r="AA27" s="21"/>
      <c r="AB27" s="21"/>
      <c r="AC27" s="21"/>
      <c r="AD27" s="21"/>
      <c r="AE27" s="21"/>
      <c r="AF27" s="21"/>
      <c r="AG27" s="21"/>
      <c r="AH27" s="21"/>
      <c r="AI27" s="21"/>
      <c r="AJ27" s="21"/>
      <c r="AK27" s="21"/>
      <c r="AL27" s="21"/>
      <c r="AM27" s="21"/>
      <c r="AN27" s="22"/>
    </row>
    <row r="28" spans="1:40" x14ac:dyDescent="0.35">
      <c r="A28" s="3" t="s">
        <v>539</v>
      </c>
      <c r="B28" s="13">
        <v>1</v>
      </c>
      <c r="C28" s="13">
        <v>1</v>
      </c>
      <c r="D28" s="13">
        <v>1</v>
      </c>
      <c r="E28" s="13">
        <v>1</v>
      </c>
      <c r="F28" s="13">
        <v>1</v>
      </c>
      <c r="G28" s="13">
        <v>1</v>
      </c>
      <c r="H28" s="13">
        <v>1</v>
      </c>
      <c r="I28" s="14">
        <f t="shared" si="0"/>
        <v>7</v>
      </c>
      <c r="J28" s="6"/>
      <c r="K28">
        <v>1</v>
      </c>
      <c r="L28">
        <v>1</v>
      </c>
      <c r="M28">
        <v>0.5</v>
      </c>
      <c r="N28">
        <v>1</v>
      </c>
      <c r="O28">
        <v>1</v>
      </c>
      <c r="P28">
        <v>1</v>
      </c>
      <c r="Q28">
        <v>1</v>
      </c>
      <c r="R28" s="1">
        <f t="shared" si="1"/>
        <v>6.5</v>
      </c>
      <c r="T28" s="36">
        <f t="shared" si="2"/>
        <v>6.75</v>
      </c>
      <c r="U28">
        <f t="shared" si="3"/>
        <v>0.5</v>
      </c>
      <c r="X28" s="26" t="s">
        <v>1139</v>
      </c>
      <c r="Y28" s="35">
        <f>Y25-Y27</f>
        <v>0.19479733817301861</v>
      </c>
      <c r="Z28" s="21"/>
      <c r="AA28" s="21"/>
      <c r="AB28" s="21"/>
      <c r="AC28" s="21"/>
      <c r="AD28" s="21"/>
      <c r="AE28" s="21"/>
      <c r="AF28" s="21"/>
      <c r="AG28" s="21"/>
      <c r="AH28" s="21"/>
      <c r="AI28" s="21"/>
      <c r="AJ28" s="21"/>
      <c r="AK28" s="21"/>
      <c r="AL28" s="21"/>
      <c r="AM28" s="21"/>
      <c r="AN28" s="22"/>
    </row>
    <row r="29" spans="1:40" x14ac:dyDescent="0.35">
      <c r="A29" s="3" t="s">
        <v>541</v>
      </c>
      <c r="B29" s="13">
        <v>1</v>
      </c>
      <c r="C29" s="13">
        <v>1</v>
      </c>
      <c r="D29" s="13">
        <v>0.5</v>
      </c>
      <c r="E29" s="13">
        <v>1</v>
      </c>
      <c r="F29" s="13">
        <v>1</v>
      </c>
      <c r="G29" s="13">
        <v>1</v>
      </c>
      <c r="H29" s="13">
        <v>1</v>
      </c>
      <c r="I29" s="14">
        <f t="shared" si="0"/>
        <v>6.5</v>
      </c>
      <c r="J29" s="6"/>
      <c r="K29">
        <v>1</v>
      </c>
      <c r="L29">
        <v>1</v>
      </c>
      <c r="M29">
        <v>1</v>
      </c>
      <c r="N29">
        <v>1</v>
      </c>
      <c r="O29">
        <v>1</v>
      </c>
      <c r="P29">
        <v>1</v>
      </c>
      <c r="Q29">
        <v>0.5</v>
      </c>
      <c r="R29" s="1">
        <f t="shared" si="1"/>
        <v>6.5</v>
      </c>
      <c r="T29" s="36">
        <f t="shared" si="2"/>
        <v>6.5</v>
      </c>
      <c r="U29">
        <f t="shared" si="3"/>
        <v>0</v>
      </c>
      <c r="X29" s="26" t="s">
        <v>1140</v>
      </c>
      <c r="Y29" s="35">
        <f>Y25+(Y21-1)*Y27+Y21*(Y26-Y27)/Y20</f>
        <v>0.22496975196612201</v>
      </c>
      <c r="Z29" s="21"/>
      <c r="AA29" s="21"/>
      <c r="AB29" s="21"/>
      <c r="AC29" s="21"/>
      <c r="AD29" s="21"/>
      <c r="AE29" s="21"/>
      <c r="AF29" s="21"/>
      <c r="AG29" s="21"/>
      <c r="AH29" s="21"/>
      <c r="AI29" s="21"/>
      <c r="AJ29" s="21"/>
      <c r="AK29" s="21"/>
      <c r="AL29" s="21"/>
      <c r="AM29" s="21"/>
      <c r="AN29" s="22"/>
    </row>
    <row r="30" spans="1:40" x14ac:dyDescent="0.35">
      <c r="A30" s="3" t="s">
        <v>544</v>
      </c>
      <c r="B30" s="13">
        <v>1</v>
      </c>
      <c r="C30" s="13">
        <v>1</v>
      </c>
      <c r="D30" s="13">
        <v>1</v>
      </c>
      <c r="E30" s="13">
        <v>1</v>
      </c>
      <c r="F30" s="13">
        <v>1</v>
      </c>
      <c r="G30" s="13">
        <v>1</v>
      </c>
      <c r="H30" s="13">
        <v>1</v>
      </c>
      <c r="I30" s="14">
        <f t="shared" si="0"/>
        <v>7</v>
      </c>
      <c r="J30" s="6"/>
      <c r="K30">
        <v>1</v>
      </c>
      <c r="L30">
        <v>1</v>
      </c>
      <c r="M30">
        <v>1</v>
      </c>
      <c r="N30">
        <v>1</v>
      </c>
      <c r="O30">
        <v>1</v>
      </c>
      <c r="P30">
        <v>1</v>
      </c>
      <c r="Q30">
        <v>1</v>
      </c>
      <c r="R30" s="1">
        <f t="shared" si="1"/>
        <v>7</v>
      </c>
      <c r="T30" s="36">
        <f t="shared" si="2"/>
        <v>7</v>
      </c>
      <c r="U30">
        <f t="shared" si="3"/>
        <v>0</v>
      </c>
      <c r="X30" s="33" t="s">
        <v>1141</v>
      </c>
      <c r="Y30" s="37">
        <f>Y28/Y29</f>
        <v>0.86588235294117655</v>
      </c>
      <c r="Z30" s="21"/>
      <c r="AA30" s="21"/>
      <c r="AB30" s="21"/>
      <c r="AC30" s="21"/>
      <c r="AD30" s="21"/>
      <c r="AE30" s="21"/>
      <c r="AF30" s="21"/>
      <c r="AG30" s="21"/>
      <c r="AH30" s="21"/>
      <c r="AI30" s="21"/>
      <c r="AJ30" s="21"/>
      <c r="AK30" s="21"/>
      <c r="AL30" s="21"/>
      <c r="AM30" s="21"/>
      <c r="AN30" s="22"/>
    </row>
    <row r="31" spans="1:40" x14ac:dyDescent="0.35">
      <c r="A31" s="3" t="s">
        <v>546</v>
      </c>
      <c r="B31" s="13">
        <v>1</v>
      </c>
      <c r="C31" s="13">
        <v>1</v>
      </c>
      <c r="D31" s="13">
        <v>0.5</v>
      </c>
      <c r="E31" s="13">
        <v>1</v>
      </c>
      <c r="F31" s="13">
        <v>1</v>
      </c>
      <c r="G31" s="13">
        <v>1</v>
      </c>
      <c r="H31" s="13">
        <v>0.5</v>
      </c>
      <c r="I31" s="14">
        <f t="shared" si="0"/>
        <v>6</v>
      </c>
      <c r="J31" s="6"/>
      <c r="K31">
        <v>1</v>
      </c>
      <c r="L31">
        <v>1</v>
      </c>
      <c r="M31">
        <v>0.5</v>
      </c>
      <c r="N31">
        <v>1</v>
      </c>
      <c r="O31">
        <v>1</v>
      </c>
      <c r="P31">
        <v>1</v>
      </c>
      <c r="Q31">
        <v>0.5</v>
      </c>
      <c r="R31" s="1">
        <f t="shared" si="1"/>
        <v>6</v>
      </c>
      <c r="T31" s="36">
        <f t="shared" si="2"/>
        <v>6</v>
      </c>
      <c r="U31">
        <f t="shared" si="3"/>
        <v>0</v>
      </c>
      <c r="X31" s="21"/>
      <c r="Y31" s="21"/>
      <c r="Z31" s="21"/>
      <c r="AA31" s="21"/>
      <c r="AB31" s="21"/>
      <c r="AC31" s="21"/>
      <c r="AD31" s="21"/>
      <c r="AE31" s="21"/>
      <c r="AF31" s="21"/>
      <c r="AG31" s="21"/>
      <c r="AH31" s="21"/>
      <c r="AI31" s="21"/>
      <c r="AJ31" s="21"/>
      <c r="AK31" s="21"/>
      <c r="AL31" s="21"/>
      <c r="AM31" s="21"/>
      <c r="AN31" s="22"/>
    </row>
    <row r="32" spans="1:40" x14ac:dyDescent="0.35">
      <c r="A32" s="3" t="s">
        <v>548</v>
      </c>
      <c r="B32" s="13">
        <v>1</v>
      </c>
      <c r="C32" s="13">
        <v>1</v>
      </c>
      <c r="D32" s="13">
        <v>1</v>
      </c>
      <c r="E32" s="13">
        <v>1</v>
      </c>
      <c r="F32" s="13">
        <v>1</v>
      </c>
      <c r="G32" s="13">
        <v>1</v>
      </c>
      <c r="H32" s="13">
        <v>1</v>
      </c>
      <c r="I32" s="14">
        <f t="shared" si="0"/>
        <v>7</v>
      </c>
      <c r="J32" s="6"/>
      <c r="K32">
        <v>1</v>
      </c>
      <c r="L32">
        <v>1</v>
      </c>
      <c r="M32">
        <v>1</v>
      </c>
      <c r="N32">
        <v>1</v>
      </c>
      <c r="O32">
        <v>1</v>
      </c>
      <c r="P32">
        <v>1</v>
      </c>
      <c r="Q32">
        <v>1</v>
      </c>
      <c r="R32" s="1">
        <f t="shared" si="1"/>
        <v>7</v>
      </c>
      <c r="T32" s="36">
        <f t="shared" si="2"/>
        <v>7</v>
      </c>
      <c r="U32">
        <f t="shared" si="3"/>
        <v>0</v>
      </c>
      <c r="AB32" s="21"/>
      <c r="AC32" s="21"/>
      <c r="AD32" s="21"/>
      <c r="AE32" s="21"/>
      <c r="AF32" s="21"/>
      <c r="AG32" s="21"/>
      <c r="AH32" s="21"/>
      <c r="AI32" s="21"/>
      <c r="AJ32" s="21"/>
      <c r="AK32" s="21"/>
      <c r="AL32" s="21"/>
      <c r="AM32" s="21"/>
      <c r="AN32" s="22"/>
    </row>
    <row r="33" spans="1:40" x14ac:dyDescent="0.35">
      <c r="A33" s="3" t="s">
        <v>550</v>
      </c>
      <c r="B33" s="13">
        <v>1</v>
      </c>
      <c r="C33" s="13">
        <v>1</v>
      </c>
      <c r="D33" s="13">
        <v>0.5</v>
      </c>
      <c r="E33" s="13">
        <v>1</v>
      </c>
      <c r="F33" s="13">
        <v>1</v>
      </c>
      <c r="G33" s="13">
        <v>1</v>
      </c>
      <c r="H33" s="13">
        <v>1</v>
      </c>
      <c r="I33" s="14">
        <f t="shared" si="0"/>
        <v>6.5</v>
      </c>
      <c r="J33" s="6"/>
      <c r="K33">
        <v>1</v>
      </c>
      <c r="L33">
        <v>1</v>
      </c>
      <c r="M33">
        <v>0.5</v>
      </c>
      <c r="N33">
        <v>1</v>
      </c>
      <c r="O33">
        <v>1</v>
      </c>
      <c r="P33">
        <v>1</v>
      </c>
      <c r="Q33">
        <v>1</v>
      </c>
      <c r="R33" s="1">
        <f t="shared" si="1"/>
        <v>6.5</v>
      </c>
      <c r="T33" s="36">
        <f t="shared" si="2"/>
        <v>6.5</v>
      </c>
      <c r="U33">
        <f t="shared" si="3"/>
        <v>0</v>
      </c>
      <c r="AB33" s="21"/>
      <c r="AC33" s="21"/>
      <c r="AD33" s="21"/>
      <c r="AE33" s="21"/>
      <c r="AF33" s="21"/>
      <c r="AG33" s="21"/>
      <c r="AH33" s="21"/>
      <c r="AI33" s="21"/>
      <c r="AJ33" s="21"/>
      <c r="AK33" s="21"/>
      <c r="AL33" s="21"/>
      <c r="AM33" s="21"/>
      <c r="AN33" s="22"/>
    </row>
    <row r="34" spans="1:40" x14ac:dyDescent="0.35">
      <c r="A34" s="3" t="s">
        <v>553</v>
      </c>
      <c r="B34" s="13">
        <v>1</v>
      </c>
      <c r="C34" s="13">
        <v>1</v>
      </c>
      <c r="D34" s="13">
        <v>0.5</v>
      </c>
      <c r="E34" s="13">
        <v>1</v>
      </c>
      <c r="F34" s="13">
        <v>1</v>
      </c>
      <c r="G34" s="13">
        <v>1</v>
      </c>
      <c r="H34" s="13">
        <v>0.5</v>
      </c>
      <c r="I34" s="14">
        <f t="shared" si="0"/>
        <v>6</v>
      </c>
      <c r="J34" s="6"/>
      <c r="K34">
        <v>1</v>
      </c>
      <c r="L34">
        <v>1</v>
      </c>
      <c r="M34">
        <v>0.5</v>
      </c>
      <c r="N34">
        <v>1</v>
      </c>
      <c r="O34">
        <v>1</v>
      </c>
      <c r="P34">
        <v>1</v>
      </c>
      <c r="Q34">
        <v>0.5</v>
      </c>
      <c r="R34" s="1">
        <f t="shared" si="1"/>
        <v>6</v>
      </c>
      <c r="T34" s="36">
        <f t="shared" si="2"/>
        <v>6</v>
      </c>
      <c r="U34">
        <f t="shared" si="3"/>
        <v>0</v>
      </c>
      <c r="AB34" s="21"/>
      <c r="AC34" s="21"/>
      <c r="AD34" s="21"/>
      <c r="AE34" s="21"/>
      <c r="AF34" s="21"/>
      <c r="AG34" s="21"/>
      <c r="AH34" s="21"/>
      <c r="AI34" s="21"/>
      <c r="AJ34" s="21"/>
      <c r="AK34" s="21"/>
      <c r="AL34" s="21"/>
      <c r="AM34" s="21"/>
      <c r="AN34" s="22"/>
    </row>
    <row r="35" spans="1:40" x14ac:dyDescent="0.35">
      <c r="A35" s="3" t="s">
        <v>556</v>
      </c>
      <c r="B35" s="13">
        <v>1</v>
      </c>
      <c r="C35" s="13">
        <v>1</v>
      </c>
      <c r="D35" s="13">
        <v>0.5</v>
      </c>
      <c r="E35" s="13">
        <v>1</v>
      </c>
      <c r="F35" s="13">
        <v>1</v>
      </c>
      <c r="G35" s="13">
        <v>0.5</v>
      </c>
      <c r="H35" s="13">
        <v>1</v>
      </c>
      <c r="I35" s="14">
        <f t="shared" ref="I35:I60" si="9">SUM(B35:H35)</f>
        <v>6</v>
      </c>
      <c r="J35" s="6"/>
      <c r="K35">
        <v>1</v>
      </c>
      <c r="L35">
        <v>1</v>
      </c>
      <c r="M35">
        <v>0.5</v>
      </c>
      <c r="N35">
        <v>1</v>
      </c>
      <c r="O35">
        <v>1</v>
      </c>
      <c r="P35">
        <v>0.5</v>
      </c>
      <c r="Q35">
        <v>1</v>
      </c>
      <c r="R35" s="1">
        <f t="shared" si="1"/>
        <v>6</v>
      </c>
      <c r="T35" s="36">
        <f t="shared" si="2"/>
        <v>6</v>
      </c>
      <c r="U35">
        <f t="shared" si="3"/>
        <v>0</v>
      </c>
      <c r="AB35" s="21"/>
      <c r="AC35" s="21"/>
      <c r="AD35" s="21"/>
      <c r="AE35" s="21"/>
      <c r="AF35" s="21"/>
      <c r="AG35" s="21"/>
      <c r="AH35" s="21"/>
      <c r="AI35" s="21"/>
      <c r="AJ35" s="21"/>
      <c r="AK35" s="21"/>
      <c r="AL35" s="21"/>
      <c r="AM35" s="21"/>
      <c r="AN35" s="22"/>
    </row>
    <row r="36" spans="1:40" x14ac:dyDescent="0.35">
      <c r="A36" s="3" t="s">
        <v>557</v>
      </c>
      <c r="B36" s="13">
        <v>1</v>
      </c>
      <c r="C36" s="13">
        <v>1</v>
      </c>
      <c r="D36" s="13">
        <v>1</v>
      </c>
      <c r="E36" s="13">
        <v>1</v>
      </c>
      <c r="F36" s="13">
        <v>1</v>
      </c>
      <c r="G36" s="13">
        <v>1</v>
      </c>
      <c r="H36" s="13">
        <v>0.5</v>
      </c>
      <c r="I36" s="14">
        <f t="shared" si="9"/>
        <v>6.5</v>
      </c>
      <c r="J36" s="6"/>
      <c r="K36">
        <v>1</v>
      </c>
      <c r="L36">
        <v>1</v>
      </c>
      <c r="M36">
        <v>1</v>
      </c>
      <c r="N36">
        <v>1</v>
      </c>
      <c r="O36">
        <v>1</v>
      </c>
      <c r="P36">
        <v>1</v>
      </c>
      <c r="Q36">
        <v>0.5</v>
      </c>
      <c r="R36" s="1">
        <f t="shared" si="1"/>
        <v>6.5</v>
      </c>
      <c r="T36" s="36">
        <f t="shared" si="2"/>
        <v>6.5</v>
      </c>
      <c r="U36">
        <f t="shared" si="3"/>
        <v>0</v>
      </c>
      <c r="AB36" s="21"/>
      <c r="AC36" s="21"/>
      <c r="AD36" s="21"/>
      <c r="AE36" s="21"/>
      <c r="AF36" s="21"/>
      <c r="AG36" s="21"/>
      <c r="AH36" s="21"/>
      <c r="AI36" s="21"/>
      <c r="AJ36" s="21"/>
      <c r="AK36" s="21"/>
      <c r="AL36" s="21"/>
      <c r="AM36" s="21"/>
      <c r="AN36" s="22"/>
    </row>
    <row r="37" spans="1:40" x14ac:dyDescent="0.35">
      <c r="A37" s="3" t="s">
        <v>559</v>
      </c>
      <c r="B37" s="13">
        <v>1</v>
      </c>
      <c r="C37" s="13">
        <v>1</v>
      </c>
      <c r="D37" s="13">
        <v>0.5</v>
      </c>
      <c r="E37" s="13">
        <v>1</v>
      </c>
      <c r="F37" s="13">
        <v>1</v>
      </c>
      <c r="G37" s="13">
        <v>1</v>
      </c>
      <c r="H37" s="13">
        <v>0.5</v>
      </c>
      <c r="I37" s="14">
        <f t="shared" si="9"/>
        <v>6</v>
      </c>
      <c r="J37" s="6"/>
      <c r="K37">
        <v>1</v>
      </c>
      <c r="L37">
        <v>1</v>
      </c>
      <c r="M37">
        <v>0.5</v>
      </c>
      <c r="N37">
        <v>1</v>
      </c>
      <c r="O37">
        <v>1</v>
      </c>
      <c r="P37">
        <v>1</v>
      </c>
      <c r="Q37">
        <v>0.5</v>
      </c>
      <c r="R37" s="1">
        <f t="shared" si="1"/>
        <v>6</v>
      </c>
      <c r="T37" s="36">
        <f t="shared" si="2"/>
        <v>6</v>
      </c>
      <c r="U37">
        <f t="shared" si="3"/>
        <v>0</v>
      </c>
      <c r="AB37" s="22"/>
      <c r="AC37" s="22"/>
      <c r="AD37" s="22"/>
      <c r="AE37" s="22"/>
      <c r="AF37" s="22"/>
      <c r="AG37" s="22"/>
      <c r="AH37" s="22"/>
      <c r="AI37" s="22"/>
      <c r="AJ37" s="22"/>
      <c r="AK37" s="22"/>
      <c r="AL37" s="22"/>
      <c r="AM37" s="22"/>
      <c r="AN37" s="22"/>
    </row>
    <row r="38" spans="1:40" x14ac:dyDescent="0.35">
      <c r="A38" s="3" t="s">
        <v>562</v>
      </c>
      <c r="B38" s="13">
        <v>1</v>
      </c>
      <c r="C38" s="13">
        <v>1</v>
      </c>
      <c r="D38" s="13">
        <v>1</v>
      </c>
      <c r="E38" s="13">
        <v>1</v>
      </c>
      <c r="F38" s="13">
        <v>1</v>
      </c>
      <c r="G38" s="13">
        <v>1</v>
      </c>
      <c r="H38" s="13">
        <v>0.5</v>
      </c>
      <c r="I38" s="14">
        <f t="shared" si="9"/>
        <v>6.5</v>
      </c>
      <c r="J38" s="6"/>
      <c r="K38">
        <v>1</v>
      </c>
      <c r="L38">
        <v>1</v>
      </c>
      <c r="M38">
        <v>1</v>
      </c>
      <c r="N38">
        <v>1</v>
      </c>
      <c r="O38">
        <v>1</v>
      </c>
      <c r="P38">
        <v>1</v>
      </c>
      <c r="Q38">
        <v>0.5</v>
      </c>
      <c r="R38" s="1">
        <f t="shared" si="1"/>
        <v>6.5</v>
      </c>
      <c r="T38" s="36">
        <f t="shared" si="2"/>
        <v>6.5</v>
      </c>
      <c r="U38">
        <f t="shared" si="3"/>
        <v>0</v>
      </c>
      <c r="AB38" s="22"/>
      <c r="AC38" s="22"/>
      <c r="AD38" s="22"/>
      <c r="AE38" s="22"/>
      <c r="AF38" s="22"/>
      <c r="AG38" s="22"/>
      <c r="AH38" s="22"/>
      <c r="AI38" s="22"/>
      <c r="AJ38" s="22"/>
      <c r="AK38" s="22"/>
      <c r="AL38" s="22"/>
      <c r="AM38" s="22"/>
      <c r="AN38" s="22"/>
    </row>
    <row r="39" spans="1:40" x14ac:dyDescent="0.35">
      <c r="A39" s="3" t="s">
        <v>563</v>
      </c>
      <c r="B39" s="13">
        <v>1</v>
      </c>
      <c r="C39" s="13">
        <v>1</v>
      </c>
      <c r="D39" s="13">
        <v>1</v>
      </c>
      <c r="E39" s="13">
        <v>1</v>
      </c>
      <c r="F39" s="13">
        <v>1</v>
      </c>
      <c r="G39" s="13">
        <v>1</v>
      </c>
      <c r="H39" s="13">
        <v>1</v>
      </c>
      <c r="I39" s="14">
        <f t="shared" si="9"/>
        <v>7</v>
      </c>
      <c r="J39" s="6"/>
      <c r="K39">
        <v>1</v>
      </c>
      <c r="L39">
        <v>1</v>
      </c>
      <c r="M39">
        <v>1</v>
      </c>
      <c r="N39">
        <v>1</v>
      </c>
      <c r="O39">
        <v>1</v>
      </c>
      <c r="P39">
        <v>1</v>
      </c>
      <c r="Q39">
        <v>1</v>
      </c>
      <c r="R39" s="1">
        <f t="shared" si="1"/>
        <v>7</v>
      </c>
      <c r="T39" s="36">
        <f t="shared" si="2"/>
        <v>7</v>
      </c>
      <c r="U39">
        <f t="shared" si="3"/>
        <v>0</v>
      </c>
    </row>
    <row r="40" spans="1:40" x14ac:dyDescent="0.35">
      <c r="A40" s="3" t="s">
        <v>565</v>
      </c>
      <c r="B40" s="13">
        <v>1</v>
      </c>
      <c r="C40" s="13">
        <v>1</v>
      </c>
      <c r="D40" s="13">
        <v>0.5</v>
      </c>
      <c r="E40" s="13">
        <v>1</v>
      </c>
      <c r="F40" s="13">
        <v>1</v>
      </c>
      <c r="G40" s="13">
        <v>1</v>
      </c>
      <c r="H40" s="13">
        <v>1</v>
      </c>
      <c r="I40" s="14">
        <f t="shared" si="9"/>
        <v>6.5</v>
      </c>
      <c r="J40" s="6"/>
      <c r="K40">
        <v>1</v>
      </c>
      <c r="L40">
        <v>1</v>
      </c>
      <c r="M40">
        <v>0.5</v>
      </c>
      <c r="N40">
        <v>1</v>
      </c>
      <c r="O40">
        <v>1</v>
      </c>
      <c r="P40">
        <v>1</v>
      </c>
      <c r="Q40">
        <v>1</v>
      </c>
      <c r="R40" s="1">
        <f t="shared" si="1"/>
        <v>6.5</v>
      </c>
      <c r="T40" s="36">
        <f t="shared" si="2"/>
        <v>6.5</v>
      </c>
      <c r="U40">
        <f t="shared" si="3"/>
        <v>0</v>
      </c>
    </row>
    <row r="41" spans="1:40" x14ac:dyDescent="0.35">
      <c r="A41" s="3" t="s">
        <v>567</v>
      </c>
      <c r="B41" s="13">
        <v>1</v>
      </c>
      <c r="C41" s="13">
        <v>1</v>
      </c>
      <c r="D41" s="13">
        <v>1</v>
      </c>
      <c r="E41" s="13">
        <v>1</v>
      </c>
      <c r="F41" s="13">
        <v>1</v>
      </c>
      <c r="G41" s="13">
        <v>1</v>
      </c>
      <c r="H41" s="13">
        <v>1</v>
      </c>
      <c r="I41" s="14">
        <f t="shared" si="9"/>
        <v>7</v>
      </c>
      <c r="J41" s="6"/>
      <c r="K41">
        <v>1</v>
      </c>
      <c r="L41">
        <v>1</v>
      </c>
      <c r="M41">
        <v>1</v>
      </c>
      <c r="N41">
        <v>1</v>
      </c>
      <c r="O41">
        <v>1</v>
      </c>
      <c r="P41">
        <v>1</v>
      </c>
      <c r="Q41">
        <v>1</v>
      </c>
      <c r="R41" s="1">
        <f t="shared" si="1"/>
        <v>7</v>
      </c>
      <c r="T41" s="36">
        <f t="shared" si="2"/>
        <v>7</v>
      </c>
      <c r="U41">
        <f t="shared" si="3"/>
        <v>0</v>
      </c>
    </row>
    <row r="42" spans="1:40" x14ac:dyDescent="0.35">
      <c r="A42" s="3" t="s">
        <v>569</v>
      </c>
      <c r="B42" s="13">
        <v>1</v>
      </c>
      <c r="C42" s="13">
        <v>1</v>
      </c>
      <c r="D42" s="13">
        <v>1</v>
      </c>
      <c r="E42" s="13">
        <v>1</v>
      </c>
      <c r="F42" s="13">
        <v>1</v>
      </c>
      <c r="G42" s="13">
        <v>1</v>
      </c>
      <c r="H42" s="13">
        <v>1</v>
      </c>
      <c r="I42" s="14">
        <f t="shared" si="9"/>
        <v>7</v>
      </c>
      <c r="J42" s="6"/>
      <c r="K42">
        <v>1</v>
      </c>
      <c r="L42">
        <v>1</v>
      </c>
      <c r="M42">
        <v>1</v>
      </c>
      <c r="N42">
        <v>1</v>
      </c>
      <c r="O42">
        <v>1</v>
      </c>
      <c r="P42">
        <v>1</v>
      </c>
      <c r="Q42">
        <v>1</v>
      </c>
      <c r="R42" s="1">
        <f t="shared" si="1"/>
        <v>7</v>
      </c>
      <c r="T42" s="36">
        <f t="shared" si="2"/>
        <v>7</v>
      </c>
      <c r="U42">
        <f t="shared" si="3"/>
        <v>0</v>
      </c>
    </row>
    <row r="43" spans="1:40" x14ac:dyDescent="0.35">
      <c r="A43" s="3" t="s">
        <v>572</v>
      </c>
      <c r="B43" s="13">
        <v>1</v>
      </c>
      <c r="C43" s="13">
        <v>1</v>
      </c>
      <c r="D43" s="13">
        <v>1</v>
      </c>
      <c r="E43" s="13">
        <v>1</v>
      </c>
      <c r="F43" s="13">
        <v>1</v>
      </c>
      <c r="G43" s="13">
        <v>1</v>
      </c>
      <c r="H43" s="13">
        <v>1</v>
      </c>
      <c r="I43" s="14">
        <f t="shared" si="9"/>
        <v>7</v>
      </c>
      <c r="J43" s="6"/>
      <c r="K43">
        <v>1</v>
      </c>
      <c r="L43">
        <v>1</v>
      </c>
      <c r="M43">
        <v>1</v>
      </c>
      <c r="N43">
        <v>1</v>
      </c>
      <c r="O43">
        <v>1</v>
      </c>
      <c r="P43">
        <v>1</v>
      </c>
      <c r="Q43">
        <v>1</v>
      </c>
      <c r="R43" s="1">
        <f t="shared" si="1"/>
        <v>7</v>
      </c>
      <c r="T43" s="36">
        <f t="shared" si="2"/>
        <v>7</v>
      </c>
      <c r="U43">
        <f t="shared" si="3"/>
        <v>0</v>
      </c>
    </row>
    <row r="44" spans="1:40" x14ac:dyDescent="0.35">
      <c r="A44" s="3" t="s">
        <v>574</v>
      </c>
      <c r="B44" s="13">
        <v>1</v>
      </c>
      <c r="C44" s="13">
        <v>1</v>
      </c>
      <c r="D44" s="13">
        <v>1</v>
      </c>
      <c r="E44" s="13">
        <v>1</v>
      </c>
      <c r="F44" s="13">
        <v>1</v>
      </c>
      <c r="G44" s="13">
        <v>1</v>
      </c>
      <c r="H44" s="13">
        <v>0.5</v>
      </c>
      <c r="I44" s="14">
        <f t="shared" si="9"/>
        <v>6.5</v>
      </c>
      <c r="J44" s="6"/>
      <c r="K44">
        <v>1</v>
      </c>
      <c r="L44">
        <v>1</v>
      </c>
      <c r="M44">
        <v>1</v>
      </c>
      <c r="N44">
        <v>1</v>
      </c>
      <c r="O44">
        <v>1</v>
      </c>
      <c r="P44">
        <v>1</v>
      </c>
      <c r="Q44">
        <v>0.5</v>
      </c>
      <c r="R44" s="1">
        <f t="shared" si="1"/>
        <v>6.5</v>
      </c>
      <c r="T44" s="36">
        <f t="shared" si="2"/>
        <v>6.5</v>
      </c>
      <c r="U44">
        <f t="shared" si="3"/>
        <v>0</v>
      </c>
    </row>
    <row r="45" spans="1:40" x14ac:dyDescent="0.35">
      <c r="A45" s="3" t="s">
        <v>577</v>
      </c>
      <c r="B45" s="13">
        <v>1</v>
      </c>
      <c r="C45" s="13">
        <v>1</v>
      </c>
      <c r="D45" s="13">
        <v>1</v>
      </c>
      <c r="E45" s="13">
        <v>1</v>
      </c>
      <c r="F45" s="13">
        <v>1</v>
      </c>
      <c r="G45" s="13">
        <v>1</v>
      </c>
      <c r="H45" s="13">
        <v>0.5</v>
      </c>
      <c r="I45" s="14">
        <f t="shared" si="9"/>
        <v>6.5</v>
      </c>
      <c r="J45" s="6"/>
      <c r="K45">
        <v>1</v>
      </c>
      <c r="L45">
        <v>1</v>
      </c>
      <c r="M45">
        <v>1</v>
      </c>
      <c r="N45">
        <v>1</v>
      </c>
      <c r="O45">
        <v>1</v>
      </c>
      <c r="P45">
        <v>1</v>
      </c>
      <c r="Q45">
        <v>0.5</v>
      </c>
      <c r="R45" s="1">
        <f t="shared" si="1"/>
        <v>6.5</v>
      </c>
      <c r="T45" s="36">
        <f t="shared" si="2"/>
        <v>6.5</v>
      </c>
      <c r="U45">
        <f t="shared" si="3"/>
        <v>0</v>
      </c>
    </row>
    <row r="46" spans="1:40" x14ac:dyDescent="0.35">
      <c r="A46" s="3" t="s">
        <v>579</v>
      </c>
      <c r="B46" s="13">
        <v>1</v>
      </c>
      <c r="C46" s="13">
        <v>1</v>
      </c>
      <c r="D46" s="13">
        <v>0.5</v>
      </c>
      <c r="E46" s="13">
        <v>1</v>
      </c>
      <c r="F46" s="13">
        <v>1</v>
      </c>
      <c r="G46" s="13">
        <v>1</v>
      </c>
      <c r="H46" s="13">
        <v>1</v>
      </c>
      <c r="I46" s="14">
        <f t="shared" si="9"/>
        <v>6.5</v>
      </c>
      <c r="J46" s="6"/>
      <c r="K46">
        <v>1</v>
      </c>
      <c r="L46">
        <v>1</v>
      </c>
      <c r="M46">
        <v>0.5</v>
      </c>
      <c r="N46">
        <v>1</v>
      </c>
      <c r="O46">
        <v>1</v>
      </c>
      <c r="P46">
        <v>1</v>
      </c>
      <c r="Q46">
        <v>1</v>
      </c>
      <c r="R46" s="1">
        <f t="shared" si="1"/>
        <v>6.5</v>
      </c>
      <c r="T46" s="36">
        <f t="shared" si="2"/>
        <v>6.5</v>
      </c>
      <c r="U46">
        <f t="shared" si="3"/>
        <v>0</v>
      </c>
    </row>
    <row r="47" spans="1:40" x14ac:dyDescent="0.35">
      <c r="A47" s="3" t="s">
        <v>581</v>
      </c>
      <c r="B47" s="13">
        <v>0.5</v>
      </c>
      <c r="C47" s="13">
        <v>1</v>
      </c>
      <c r="D47" s="13">
        <v>1</v>
      </c>
      <c r="E47" s="13">
        <v>1</v>
      </c>
      <c r="F47" s="13">
        <v>1</v>
      </c>
      <c r="G47" s="13">
        <v>1</v>
      </c>
      <c r="H47" s="13">
        <v>1</v>
      </c>
      <c r="I47" s="14">
        <f t="shared" si="9"/>
        <v>6.5</v>
      </c>
      <c r="J47" s="6"/>
      <c r="K47">
        <v>0.5</v>
      </c>
      <c r="L47">
        <v>1</v>
      </c>
      <c r="M47">
        <v>1</v>
      </c>
      <c r="N47">
        <v>1</v>
      </c>
      <c r="O47">
        <v>1</v>
      </c>
      <c r="P47">
        <v>1</v>
      </c>
      <c r="Q47">
        <v>1</v>
      </c>
      <c r="R47" s="1">
        <f t="shared" si="1"/>
        <v>6.5</v>
      </c>
      <c r="T47" s="36">
        <f t="shared" si="2"/>
        <v>6.5</v>
      </c>
      <c r="U47">
        <f t="shared" si="3"/>
        <v>0</v>
      </c>
    </row>
    <row r="48" spans="1:40" x14ac:dyDescent="0.35">
      <c r="A48" s="3" t="s">
        <v>583</v>
      </c>
      <c r="B48" s="13">
        <v>1</v>
      </c>
      <c r="C48" s="13">
        <v>1</v>
      </c>
      <c r="D48" s="13">
        <v>1</v>
      </c>
      <c r="E48" s="13">
        <v>1</v>
      </c>
      <c r="F48" s="13">
        <v>1</v>
      </c>
      <c r="G48" s="13">
        <v>1</v>
      </c>
      <c r="H48" s="13">
        <v>0.5</v>
      </c>
      <c r="I48" s="14">
        <f t="shared" si="9"/>
        <v>6.5</v>
      </c>
      <c r="J48" s="6"/>
      <c r="K48">
        <v>1</v>
      </c>
      <c r="L48">
        <v>1</v>
      </c>
      <c r="M48">
        <v>1</v>
      </c>
      <c r="N48">
        <v>1</v>
      </c>
      <c r="O48">
        <v>1</v>
      </c>
      <c r="P48">
        <v>1</v>
      </c>
      <c r="Q48">
        <v>0.5</v>
      </c>
      <c r="R48" s="1">
        <f t="shared" si="1"/>
        <v>6.5</v>
      </c>
      <c r="T48" s="36">
        <f t="shared" si="2"/>
        <v>6.5</v>
      </c>
      <c r="U48">
        <f t="shared" si="3"/>
        <v>0</v>
      </c>
    </row>
    <row r="49" spans="1:21" x14ac:dyDescent="0.35">
      <c r="A49" s="3" t="s">
        <v>585</v>
      </c>
      <c r="B49" s="13">
        <v>1</v>
      </c>
      <c r="C49" s="13">
        <v>1</v>
      </c>
      <c r="D49" s="13">
        <v>1</v>
      </c>
      <c r="E49" s="13">
        <v>1</v>
      </c>
      <c r="F49" s="13">
        <v>1</v>
      </c>
      <c r="G49" s="13">
        <v>1</v>
      </c>
      <c r="H49" s="13">
        <v>1</v>
      </c>
      <c r="I49" s="14">
        <f t="shared" si="9"/>
        <v>7</v>
      </c>
      <c r="J49" s="6"/>
      <c r="K49">
        <v>1</v>
      </c>
      <c r="L49">
        <v>1</v>
      </c>
      <c r="M49">
        <v>1</v>
      </c>
      <c r="N49">
        <v>1</v>
      </c>
      <c r="O49">
        <v>1</v>
      </c>
      <c r="P49">
        <v>1</v>
      </c>
      <c r="Q49">
        <v>1</v>
      </c>
      <c r="R49" s="1">
        <f t="shared" si="1"/>
        <v>7</v>
      </c>
      <c r="T49" s="36">
        <f t="shared" si="2"/>
        <v>7</v>
      </c>
      <c r="U49">
        <f t="shared" si="3"/>
        <v>0</v>
      </c>
    </row>
    <row r="50" spans="1:21" x14ac:dyDescent="0.35">
      <c r="A50" s="3" t="s">
        <v>587</v>
      </c>
      <c r="B50" s="13">
        <v>1</v>
      </c>
      <c r="C50" s="13">
        <v>1</v>
      </c>
      <c r="D50" s="13">
        <v>1</v>
      </c>
      <c r="E50" s="13">
        <v>1</v>
      </c>
      <c r="F50" s="13">
        <v>1</v>
      </c>
      <c r="G50" s="13">
        <v>1</v>
      </c>
      <c r="H50" s="13">
        <v>1</v>
      </c>
      <c r="I50" s="14">
        <f t="shared" si="9"/>
        <v>7</v>
      </c>
      <c r="J50" s="6"/>
      <c r="K50">
        <v>1</v>
      </c>
      <c r="L50">
        <v>1</v>
      </c>
      <c r="M50">
        <v>1</v>
      </c>
      <c r="N50">
        <v>1</v>
      </c>
      <c r="O50">
        <v>1</v>
      </c>
      <c r="P50">
        <v>1</v>
      </c>
      <c r="Q50">
        <v>1</v>
      </c>
      <c r="R50" s="1">
        <f t="shared" si="1"/>
        <v>7</v>
      </c>
      <c r="T50" s="36">
        <f t="shared" si="2"/>
        <v>7</v>
      </c>
      <c r="U50">
        <f t="shared" si="3"/>
        <v>0</v>
      </c>
    </row>
    <row r="51" spans="1:21" x14ac:dyDescent="0.35">
      <c r="A51" s="3" t="s">
        <v>590</v>
      </c>
      <c r="B51" s="13">
        <v>1</v>
      </c>
      <c r="C51" s="13">
        <v>1</v>
      </c>
      <c r="D51" s="13">
        <v>0.5</v>
      </c>
      <c r="E51" s="13">
        <v>1</v>
      </c>
      <c r="F51" s="13">
        <v>1</v>
      </c>
      <c r="G51" s="13">
        <v>1</v>
      </c>
      <c r="H51" s="13">
        <v>1</v>
      </c>
      <c r="I51" s="14">
        <f t="shared" si="9"/>
        <v>6.5</v>
      </c>
      <c r="J51" s="6"/>
      <c r="K51">
        <v>1</v>
      </c>
      <c r="L51">
        <v>1</v>
      </c>
      <c r="M51">
        <v>0.5</v>
      </c>
      <c r="N51">
        <v>1</v>
      </c>
      <c r="O51">
        <v>1</v>
      </c>
      <c r="P51">
        <v>1</v>
      </c>
      <c r="Q51">
        <v>1</v>
      </c>
      <c r="R51" s="1">
        <f t="shared" si="1"/>
        <v>6.5</v>
      </c>
      <c r="T51" s="36">
        <f t="shared" si="2"/>
        <v>6.5</v>
      </c>
      <c r="U51">
        <f t="shared" si="3"/>
        <v>0</v>
      </c>
    </row>
    <row r="52" spans="1:21" x14ac:dyDescent="0.35">
      <c r="A52" s="3" t="s">
        <v>592</v>
      </c>
      <c r="B52" s="13">
        <v>1</v>
      </c>
      <c r="C52" s="13">
        <v>1</v>
      </c>
      <c r="D52" s="13">
        <v>1</v>
      </c>
      <c r="E52" s="13">
        <v>1</v>
      </c>
      <c r="F52" s="13">
        <v>1</v>
      </c>
      <c r="G52" s="13">
        <v>1</v>
      </c>
      <c r="H52" s="13">
        <v>1</v>
      </c>
      <c r="I52" s="14">
        <f t="shared" si="9"/>
        <v>7</v>
      </c>
      <c r="J52" s="6"/>
      <c r="K52">
        <v>1</v>
      </c>
      <c r="L52">
        <v>1</v>
      </c>
      <c r="M52">
        <v>1</v>
      </c>
      <c r="N52">
        <v>1</v>
      </c>
      <c r="O52">
        <v>1</v>
      </c>
      <c r="P52">
        <v>1</v>
      </c>
      <c r="Q52">
        <v>1</v>
      </c>
      <c r="R52" s="1">
        <f t="shared" si="1"/>
        <v>7</v>
      </c>
      <c r="T52" s="36">
        <f t="shared" si="2"/>
        <v>7</v>
      </c>
      <c r="U52">
        <f t="shared" si="3"/>
        <v>0</v>
      </c>
    </row>
    <row r="53" spans="1:21" x14ac:dyDescent="0.35">
      <c r="A53" s="3" t="s">
        <v>594</v>
      </c>
      <c r="B53" s="13">
        <v>1</v>
      </c>
      <c r="C53" s="13">
        <v>1</v>
      </c>
      <c r="D53" s="13">
        <v>1</v>
      </c>
      <c r="E53" s="13">
        <v>1</v>
      </c>
      <c r="F53" s="13">
        <v>1</v>
      </c>
      <c r="G53" s="13">
        <v>1</v>
      </c>
      <c r="H53" s="13">
        <v>1</v>
      </c>
      <c r="I53" s="14">
        <f t="shared" si="9"/>
        <v>7</v>
      </c>
      <c r="J53" s="6"/>
      <c r="K53">
        <v>1</v>
      </c>
      <c r="L53">
        <v>1</v>
      </c>
      <c r="M53">
        <v>1</v>
      </c>
      <c r="N53">
        <v>1</v>
      </c>
      <c r="O53">
        <v>1</v>
      </c>
      <c r="P53">
        <v>1</v>
      </c>
      <c r="Q53">
        <v>1</v>
      </c>
      <c r="R53" s="1">
        <f t="shared" si="1"/>
        <v>7</v>
      </c>
      <c r="T53" s="36">
        <f t="shared" si="2"/>
        <v>7</v>
      </c>
      <c r="U53">
        <f t="shared" si="3"/>
        <v>0</v>
      </c>
    </row>
    <row r="54" spans="1:21" x14ac:dyDescent="0.35">
      <c r="A54" s="3" t="s">
        <v>597</v>
      </c>
      <c r="B54" s="13">
        <v>1</v>
      </c>
      <c r="C54" s="13">
        <v>1</v>
      </c>
      <c r="D54" s="13">
        <v>1</v>
      </c>
      <c r="E54" s="13">
        <v>1</v>
      </c>
      <c r="F54" s="13">
        <v>1</v>
      </c>
      <c r="G54" s="13">
        <v>1</v>
      </c>
      <c r="H54" s="13">
        <v>0.5</v>
      </c>
      <c r="I54" s="14">
        <f t="shared" si="9"/>
        <v>6.5</v>
      </c>
      <c r="J54" s="6"/>
      <c r="K54">
        <v>1</v>
      </c>
      <c r="L54">
        <v>1</v>
      </c>
      <c r="M54">
        <v>1</v>
      </c>
      <c r="N54">
        <v>1</v>
      </c>
      <c r="O54">
        <v>1</v>
      </c>
      <c r="P54">
        <v>1</v>
      </c>
      <c r="Q54">
        <v>0.5</v>
      </c>
      <c r="R54" s="1">
        <f t="shared" si="1"/>
        <v>6.5</v>
      </c>
      <c r="T54" s="36">
        <f t="shared" si="2"/>
        <v>6.5</v>
      </c>
      <c r="U54">
        <f t="shared" si="3"/>
        <v>0</v>
      </c>
    </row>
    <row r="55" spans="1:21" x14ac:dyDescent="0.35">
      <c r="A55" s="3" t="s">
        <v>600</v>
      </c>
      <c r="B55" s="13">
        <v>1</v>
      </c>
      <c r="C55" s="13">
        <v>1</v>
      </c>
      <c r="D55" s="13">
        <v>1</v>
      </c>
      <c r="E55" s="13">
        <v>1</v>
      </c>
      <c r="F55" s="13">
        <v>1</v>
      </c>
      <c r="G55" s="13">
        <v>1</v>
      </c>
      <c r="H55" s="13">
        <v>1</v>
      </c>
      <c r="I55" s="14">
        <f t="shared" si="9"/>
        <v>7</v>
      </c>
      <c r="J55" s="6"/>
      <c r="K55">
        <v>1</v>
      </c>
      <c r="L55">
        <v>1</v>
      </c>
      <c r="M55">
        <v>1</v>
      </c>
      <c r="N55">
        <v>1</v>
      </c>
      <c r="O55">
        <v>1</v>
      </c>
      <c r="P55">
        <v>1</v>
      </c>
      <c r="Q55">
        <v>1</v>
      </c>
      <c r="R55" s="1">
        <f t="shared" si="1"/>
        <v>7</v>
      </c>
      <c r="T55" s="36">
        <f t="shared" si="2"/>
        <v>7</v>
      </c>
      <c r="U55">
        <f t="shared" si="3"/>
        <v>0</v>
      </c>
    </row>
    <row r="56" spans="1:21" x14ac:dyDescent="0.35">
      <c r="A56" s="3" t="s">
        <v>602</v>
      </c>
      <c r="B56" s="13">
        <v>1</v>
      </c>
      <c r="C56" s="13">
        <v>1</v>
      </c>
      <c r="D56" s="13">
        <v>1</v>
      </c>
      <c r="E56" s="13">
        <v>1</v>
      </c>
      <c r="F56" s="13">
        <v>1</v>
      </c>
      <c r="G56" s="13">
        <v>1</v>
      </c>
      <c r="H56" s="13">
        <v>0.5</v>
      </c>
      <c r="I56" s="14">
        <f t="shared" si="9"/>
        <v>6.5</v>
      </c>
      <c r="J56" s="6"/>
      <c r="K56">
        <v>1</v>
      </c>
      <c r="L56">
        <v>1</v>
      </c>
      <c r="M56">
        <v>1</v>
      </c>
      <c r="N56">
        <v>1</v>
      </c>
      <c r="O56">
        <v>1</v>
      </c>
      <c r="P56">
        <v>1</v>
      </c>
      <c r="Q56">
        <v>1</v>
      </c>
      <c r="R56" s="1">
        <f t="shared" si="1"/>
        <v>7</v>
      </c>
      <c r="T56" s="36">
        <f t="shared" si="2"/>
        <v>6.75</v>
      </c>
      <c r="U56">
        <f t="shared" si="3"/>
        <v>0.5</v>
      </c>
    </row>
    <row r="57" spans="1:21" x14ac:dyDescent="0.35">
      <c r="A57" s="3" t="s">
        <v>604</v>
      </c>
      <c r="B57" s="13">
        <v>1</v>
      </c>
      <c r="C57" s="13">
        <v>1</v>
      </c>
      <c r="D57" s="13">
        <v>1</v>
      </c>
      <c r="E57" s="13">
        <v>1</v>
      </c>
      <c r="F57" s="13">
        <v>1</v>
      </c>
      <c r="G57" s="13">
        <v>1</v>
      </c>
      <c r="H57" s="13">
        <v>1</v>
      </c>
      <c r="I57" s="14">
        <f t="shared" si="9"/>
        <v>7</v>
      </c>
      <c r="J57" s="6"/>
      <c r="K57">
        <v>1</v>
      </c>
      <c r="L57">
        <v>1</v>
      </c>
      <c r="M57">
        <v>1</v>
      </c>
      <c r="N57">
        <v>1</v>
      </c>
      <c r="O57">
        <v>1</v>
      </c>
      <c r="P57">
        <v>1</v>
      </c>
      <c r="Q57">
        <v>1</v>
      </c>
      <c r="R57" s="1">
        <f t="shared" si="1"/>
        <v>7</v>
      </c>
      <c r="T57" s="36">
        <f t="shared" si="2"/>
        <v>7</v>
      </c>
      <c r="U57">
        <f t="shared" si="3"/>
        <v>0</v>
      </c>
    </row>
    <row r="58" spans="1:21" x14ac:dyDescent="0.35">
      <c r="A58" s="3" t="s">
        <v>606</v>
      </c>
      <c r="B58" s="13">
        <v>1</v>
      </c>
      <c r="C58" s="13">
        <v>1</v>
      </c>
      <c r="D58" s="13">
        <v>1</v>
      </c>
      <c r="E58" s="13">
        <v>1</v>
      </c>
      <c r="F58" s="13">
        <v>1</v>
      </c>
      <c r="G58" s="13">
        <v>1</v>
      </c>
      <c r="H58" s="13">
        <v>0.5</v>
      </c>
      <c r="I58" s="14">
        <f t="shared" si="9"/>
        <v>6.5</v>
      </c>
      <c r="J58" s="6"/>
      <c r="K58">
        <v>1</v>
      </c>
      <c r="L58">
        <v>1</v>
      </c>
      <c r="M58">
        <v>0.5</v>
      </c>
      <c r="N58">
        <v>1</v>
      </c>
      <c r="O58">
        <v>1</v>
      </c>
      <c r="P58">
        <v>1</v>
      </c>
      <c r="Q58">
        <v>1</v>
      </c>
      <c r="R58" s="1">
        <f t="shared" si="1"/>
        <v>6.5</v>
      </c>
      <c r="T58" s="36">
        <f t="shared" si="2"/>
        <v>6.5</v>
      </c>
      <c r="U58">
        <f t="shared" si="3"/>
        <v>0</v>
      </c>
    </row>
    <row r="59" spans="1:21" x14ac:dyDescent="0.35">
      <c r="A59" s="3" t="s">
        <v>608</v>
      </c>
      <c r="B59" s="13">
        <v>1</v>
      </c>
      <c r="C59" s="13">
        <v>1</v>
      </c>
      <c r="D59" s="13">
        <v>0.5</v>
      </c>
      <c r="E59" s="13">
        <v>1</v>
      </c>
      <c r="F59" s="13">
        <v>1</v>
      </c>
      <c r="G59" s="13">
        <v>1</v>
      </c>
      <c r="H59" s="13">
        <v>1</v>
      </c>
      <c r="I59" s="14">
        <f t="shared" si="9"/>
        <v>6.5</v>
      </c>
      <c r="J59" s="6"/>
      <c r="K59">
        <v>1</v>
      </c>
      <c r="L59">
        <v>1</v>
      </c>
      <c r="M59">
        <v>0.5</v>
      </c>
      <c r="N59">
        <v>1</v>
      </c>
      <c r="O59">
        <v>1</v>
      </c>
      <c r="P59">
        <v>1</v>
      </c>
      <c r="Q59">
        <v>1</v>
      </c>
      <c r="R59" s="1">
        <f t="shared" si="1"/>
        <v>6.5</v>
      </c>
      <c r="T59" s="36">
        <f t="shared" si="2"/>
        <v>6.5</v>
      </c>
      <c r="U59">
        <f t="shared" si="3"/>
        <v>0</v>
      </c>
    </row>
    <row r="60" spans="1:21" x14ac:dyDescent="0.35">
      <c r="A60" s="3" t="s">
        <v>735</v>
      </c>
      <c r="B60" s="13">
        <v>1</v>
      </c>
      <c r="C60" s="13">
        <v>1</v>
      </c>
      <c r="D60" s="13">
        <v>1</v>
      </c>
      <c r="E60" s="13">
        <v>1</v>
      </c>
      <c r="F60" s="13">
        <v>1</v>
      </c>
      <c r="G60" s="13">
        <v>1</v>
      </c>
      <c r="H60" s="13">
        <v>1</v>
      </c>
      <c r="I60" s="14">
        <f t="shared" si="9"/>
        <v>7</v>
      </c>
      <c r="J60" s="6"/>
      <c r="K60">
        <v>1</v>
      </c>
      <c r="L60">
        <v>1</v>
      </c>
      <c r="M60">
        <v>1</v>
      </c>
      <c r="N60">
        <v>1</v>
      </c>
      <c r="O60">
        <v>1</v>
      </c>
      <c r="P60">
        <v>1</v>
      </c>
      <c r="Q60">
        <v>1</v>
      </c>
      <c r="R60" s="1">
        <f t="shared" si="1"/>
        <v>7</v>
      </c>
      <c r="T60" s="36">
        <f t="shared" si="2"/>
        <v>7</v>
      </c>
      <c r="U60">
        <f t="shared" si="3"/>
        <v>0</v>
      </c>
    </row>
  </sheetData>
  <mergeCells count="5">
    <mergeCell ref="X18:Y18"/>
    <mergeCell ref="AE1:AH1"/>
    <mergeCell ref="B1:I1"/>
    <mergeCell ref="K1:R1"/>
    <mergeCell ref="X1:AB1"/>
  </mergeCells>
  <phoneticPr fontId="2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9"/>
  <sheetViews>
    <sheetView topLeftCell="V1" zoomScaleNormal="100" workbookViewId="0">
      <selection activeCell="Y26" sqref="Y26"/>
    </sheetView>
  </sheetViews>
  <sheetFormatPr defaultRowHeight="14.5" x14ac:dyDescent="0.35"/>
  <cols>
    <col min="1" max="1" width="5.453125" customWidth="1"/>
    <col min="2" max="2" width="36.08984375" customWidth="1"/>
    <col min="7" max="7" width="13.453125" bestFit="1" customWidth="1"/>
    <col min="8" max="8" width="13.1796875" bestFit="1" customWidth="1"/>
    <col min="9" max="9" width="10.453125" bestFit="1" customWidth="1"/>
    <col min="10" max="10" width="13.08984375" customWidth="1"/>
    <col min="13" max="13" width="14" bestFit="1" customWidth="1"/>
    <col min="14" max="14" width="8.90625" customWidth="1"/>
    <col min="15" max="15" width="24.08984375" bestFit="1" customWidth="1"/>
    <col min="16" max="16" width="17.1796875" bestFit="1" customWidth="1"/>
    <col min="17" max="17" width="16.1796875" customWidth="1"/>
    <col min="18" max="18" width="20.81640625" customWidth="1"/>
    <col min="19" max="19" width="24.08984375" customWidth="1"/>
    <col min="20" max="20" width="19.453125" customWidth="1"/>
    <col min="21" max="21" width="24.08984375" customWidth="1"/>
    <col min="22" max="22" width="16.26953125" customWidth="1"/>
    <col min="23" max="27" width="24.08984375" customWidth="1"/>
    <col min="28" max="28" width="15.54296875" bestFit="1" customWidth="1"/>
    <col min="29" max="29" width="22.08984375" bestFit="1" customWidth="1"/>
  </cols>
  <sheetData>
    <row r="1" spans="1:30" x14ac:dyDescent="0.35">
      <c r="A1" s="1" t="s">
        <v>266</v>
      </c>
      <c r="B1" s="1" t="s">
        <v>242</v>
      </c>
      <c r="C1" s="1" t="s">
        <v>247</v>
      </c>
      <c r="D1" s="1" t="s">
        <v>0</v>
      </c>
      <c r="E1" s="1" t="s">
        <v>245</v>
      </c>
      <c r="F1" s="1" t="s">
        <v>243</v>
      </c>
      <c r="G1" s="1" t="s">
        <v>251</v>
      </c>
      <c r="H1" s="1" t="s">
        <v>249</v>
      </c>
      <c r="I1" s="1" t="s">
        <v>634</v>
      </c>
      <c r="J1" s="1" t="s">
        <v>252</v>
      </c>
      <c r="K1" s="1" t="s">
        <v>246</v>
      </c>
      <c r="L1" s="1" t="s">
        <v>390</v>
      </c>
      <c r="M1" s="1" t="s">
        <v>633</v>
      </c>
      <c r="N1" s="1" t="s">
        <v>248</v>
      </c>
      <c r="O1" s="1" t="s">
        <v>1230</v>
      </c>
      <c r="P1" s="1" t="s">
        <v>1029</v>
      </c>
      <c r="Q1" s="1" t="s">
        <v>250</v>
      </c>
      <c r="R1" s="1" t="s">
        <v>384</v>
      </c>
      <c r="S1" s="1" t="s">
        <v>686</v>
      </c>
      <c r="T1" s="1" t="s">
        <v>1412</v>
      </c>
      <c r="U1" s="1" t="s">
        <v>1096</v>
      </c>
      <c r="V1" s="1" t="s">
        <v>1411</v>
      </c>
      <c r="W1" s="1" t="s">
        <v>1095</v>
      </c>
      <c r="X1" s="2" t="s">
        <v>1413</v>
      </c>
      <c r="Y1" s="2" t="s">
        <v>935</v>
      </c>
      <c r="Z1" s="2" t="s">
        <v>1414</v>
      </c>
      <c r="AA1" s="48" t="s">
        <v>1398</v>
      </c>
      <c r="AB1" s="47" t="s">
        <v>1397</v>
      </c>
      <c r="AD1" s="1"/>
    </row>
    <row r="2" spans="1:30" x14ac:dyDescent="0.35">
      <c r="A2" t="s">
        <v>267</v>
      </c>
      <c r="B2" s="3" t="s">
        <v>1</v>
      </c>
      <c r="C2" s="3" t="s">
        <v>3</v>
      </c>
      <c r="D2" s="3" t="s">
        <v>4</v>
      </c>
      <c r="E2" s="3" t="s">
        <v>2</v>
      </c>
      <c r="F2" s="3">
        <v>2025</v>
      </c>
      <c r="G2" s="4">
        <v>9</v>
      </c>
      <c r="H2" s="4">
        <v>2</v>
      </c>
      <c r="I2" s="3" t="s">
        <v>643</v>
      </c>
      <c r="J2" s="3" t="s">
        <v>254</v>
      </c>
      <c r="K2" s="3" t="s">
        <v>253</v>
      </c>
      <c r="L2" s="3" t="s">
        <v>385</v>
      </c>
      <c r="M2" s="3" t="s">
        <v>328</v>
      </c>
      <c r="N2" s="3" t="s">
        <v>439</v>
      </c>
      <c r="O2" s="3" t="s">
        <v>474</v>
      </c>
      <c r="P2" s="3" t="s">
        <v>764</v>
      </c>
      <c r="Q2" s="4">
        <v>2</v>
      </c>
      <c r="R2" s="3" t="s">
        <v>472</v>
      </c>
      <c r="S2" t="s">
        <v>745</v>
      </c>
      <c r="T2" t="s">
        <v>1403</v>
      </c>
      <c r="U2" t="s">
        <v>1238</v>
      </c>
      <c r="V2" t="s">
        <v>1296</v>
      </c>
      <c r="W2" s="3" t="s">
        <v>1394</v>
      </c>
      <c r="X2" s="3" t="s">
        <v>717</v>
      </c>
      <c r="Y2" s="3" t="s">
        <v>936</v>
      </c>
      <c r="Z2" s="3" t="s">
        <v>996</v>
      </c>
      <c r="AA2" s="6" t="s">
        <v>1415</v>
      </c>
      <c r="AB2" s="6" t="s">
        <v>1416</v>
      </c>
    </row>
    <row r="3" spans="1:30" x14ac:dyDescent="0.35">
      <c r="A3" t="s">
        <v>268</v>
      </c>
      <c r="B3" s="3" t="s">
        <v>5</v>
      </c>
      <c r="C3" s="3" t="s">
        <v>7</v>
      </c>
      <c r="D3" s="3" t="s">
        <v>8</v>
      </c>
      <c r="E3" s="3" t="s">
        <v>6</v>
      </c>
      <c r="F3" s="3">
        <v>2025</v>
      </c>
      <c r="G3" s="4">
        <v>5</v>
      </c>
      <c r="H3" s="4">
        <v>15</v>
      </c>
      <c r="I3" s="3" t="s">
        <v>643</v>
      </c>
      <c r="J3" s="3" t="s">
        <v>254</v>
      </c>
      <c r="K3" s="3" t="s">
        <v>253</v>
      </c>
      <c r="L3" s="3" t="s">
        <v>387</v>
      </c>
      <c r="M3" s="3" t="s">
        <v>386</v>
      </c>
      <c r="N3" s="3" t="s">
        <v>440</v>
      </c>
      <c r="O3" s="3" t="s">
        <v>326</v>
      </c>
      <c r="P3" s="3" t="s">
        <v>764</v>
      </c>
      <c r="Q3" s="4">
        <v>2</v>
      </c>
      <c r="R3" s="3" t="s">
        <v>472</v>
      </c>
      <c r="S3" t="s">
        <v>696</v>
      </c>
      <c r="T3" t="s">
        <v>1407</v>
      </c>
      <c r="U3" t="s">
        <v>1239</v>
      </c>
      <c r="V3" t="s">
        <v>1296</v>
      </c>
      <c r="W3" s="3" t="s">
        <v>1042</v>
      </c>
      <c r="X3" s="3" t="s">
        <v>676</v>
      </c>
      <c r="Y3" s="3" t="s">
        <v>937</v>
      </c>
      <c r="Z3" s="3" t="s">
        <v>995</v>
      </c>
      <c r="AA3" s="6" t="s">
        <v>1415</v>
      </c>
      <c r="AB3" s="6" t="s">
        <v>1416</v>
      </c>
    </row>
    <row r="4" spans="1:30" x14ac:dyDescent="0.35">
      <c r="A4" t="s">
        <v>271</v>
      </c>
      <c r="B4" s="3" t="s">
        <v>9</v>
      </c>
      <c r="C4" s="3" t="s">
        <v>11</v>
      </c>
      <c r="D4" s="3" t="s">
        <v>12</v>
      </c>
      <c r="E4" s="3" t="s">
        <v>10</v>
      </c>
      <c r="F4" s="3">
        <v>2025</v>
      </c>
      <c r="G4" s="4">
        <v>7</v>
      </c>
      <c r="H4" s="4">
        <v>7</v>
      </c>
      <c r="I4" s="3" t="s">
        <v>643</v>
      </c>
      <c r="J4" s="3" t="s">
        <v>254</v>
      </c>
      <c r="K4" s="3" t="s">
        <v>253</v>
      </c>
      <c r="L4" s="3" t="s">
        <v>388</v>
      </c>
      <c r="M4" s="3" t="s">
        <v>328</v>
      </c>
      <c r="N4" s="3" t="s">
        <v>441</v>
      </c>
      <c r="O4" s="3" t="s">
        <v>474</v>
      </c>
      <c r="P4" s="3" t="s">
        <v>764</v>
      </c>
      <c r="Q4" s="4">
        <v>2</v>
      </c>
      <c r="R4" s="3" t="s">
        <v>472</v>
      </c>
      <c r="S4" t="s">
        <v>697</v>
      </c>
      <c r="T4" t="s">
        <v>1406</v>
      </c>
      <c r="U4" t="s">
        <v>1240</v>
      </c>
      <c r="V4" t="s">
        <v>1103</v>
      </c>
      <c r="W4" s="3" t="s">
        <v>1043</v>
      </c>
      <c r="X4" s="3" t="s">
        <v>675</v>
      </c>
      <c r="Y4" s="3" t="s">
        <v>938</v>
      </c>
      <c r="Z4" s="3" t="s">
        <v>717</v>
      </c>
      <c r="AA4" s="6" t="s">
        <v>1415</v>
      </c>
      <c r="AB4" s="6" t="s">
        <v>1416</v>
      </c>
    </row>
    <row r="5" spans="1:30" x14ac:dyDescent="0.35">
      <c r="A5" t="s">
        <v>274</v>
      </c>
      <c r="B5" s="3" t="s">
        <v>13</v>
      </c>
      <c r="C5" s="3" t="s">
        <v>15</v>
      </c>
      <c r="D5" s="3" t="s">
        <v>16</v>
      </c>
      <c r="E5" s="3" t="s">
        <v>14</v>
      </c>
      <c r="F5" s="3">
        <v>2021</v>
      </c>
      <c r="G5" s="4">
        <v>4</v>
      </c>
      <c r="H5" s="4">
        <v>75</v>
      </c>
      <c r="I5" s="3" t="s">
        <v>643</v>
      </c>
      <c r="J5" s="3" t="s">
        <v>324</v>
      </c>
      <c r="K5" s="3" t="s">
        <v>253</v>
      </c>
      <c r="L5" s="3" t="s">
        <v>389</v>
      </c>
      <c r="M5" s="3" t="s">
        <v>328</v>
      </c>
      <c r="N5" s="3" t="s">
        <v>442</v>
      </c>
      <c r="O5" s="3" t="s">
        <v>481</v>
      </c>
      <c r="P5" s="3" t="s">
        <v>764</v>
      </c>
      <c r="Q5" s="4">
        <v>2</v>
      </c>
      <c r="R5" s="3" t="s">
        <v>472</v>
      </c>
      <c r="S5" t="s">
        <v>698</v>
      </c>
      <c r="T5" t="s">
        <v>1400</v>
      </c>
      <c r="U5" t="s">
        <v>1241</v>
      </c>
      <c r="V5" t="s">
        <v>1297</v>
      </c>
      <c r="W5" s="3" t="s">
        <v>1044</v>
      </c>
      <c r="X5" s="3" t="s">
        <v>717</v>
      </c>
      <c r="Y5" s="3" t="s">
        <v>939</v>
      </c>
      <c r="Z5" s="3" t="s">
        <v>685</v>
      </c>
      <c r="AA5" s="6" t="s">
        <v>1415</v>
      </c>
      <c r="AB5" s="6" t="s">
        <v>1416</v>
      </c>
    </row>
    <row r="6" spans="1:30" x14ac:dyDescent="0.35">
      <c r="A6" t="s">
        <v>273</v>
      </c>
      <c r="B6" s="3" t="s">
        <v>17</v>
      </c>
      <c r="C6" s="3" t="s">
        <v>19</v>
      </c>
      <c r="D6" s="3" t="s">
        <v>20</v>
      </c>
      <c r="E6" s="3" t="s">
        <v>18</v>
      </c>
      <c r="F6" s="3">
        <v>2023</v>
      </c>
      <c r="G6" s="4">
        <v>7</v>
      </c>
      <c r="H6" s="4">
        <v>78</v>
      </c>
      <c r="I6" s="3" t="s">
        <v>643</v>
      </c>
      <c r="J6" s="3" t="s">
        <v>261</v>
      </c>
      <c r="K6" s="3" t="s">
        <v>253</v>
      </c>
      <c r="L6" s="3" t="s">
        <v>367</v>
      </c>
      <c r="M6" s="3" t="s">
        <v>328</v>
      </c>
      <c r="N6" s="3" t="s">
        <v>447</v>
      </c>
      <c r="O6" s="3" t="s">
        <v>481</v>
      </c>
      <c r="P6" s="3" t="s">
        <v>764</v>
      </c>
      <c r="Q6" s="4">
        <v>2</v>
      </c>
      <c r="R6" s="3" t="s">
        <v>618</v>
      </c>
      <c r="S6" t="s">
        <v>699</v>
      </c>
      <c r="T6" t="s">
        <v>1402</v>
      </c>
      <c r="U6" t="s">
        <v>1242</v>
      </c>
      <c r="V6" t="s">
        <v>1103</v>
      </c>
      <c r="W6" s="3" t="s">
        <v>1045</v>
      </c>
      <c r="X6" s="3" t="s">
        <v>676</v>
      </c>
      <c r="Y6" s="3" t="s">
        <v>940</v>
      </c>
      <c r="Z6" s="3" t="s">
        <v>994</v>
      </c>
      <c r="AA6" s="6" t="s">
        <v>1415</v>
      </c>
      <c r="AB6" s="6" t="s">
        <v>1416</v>
      </c>
    </row>
    <row r="7" spans="1:30" x14ac:dyDescent="0.35">
      <c r="A7" t="s">
        <v>272</v>
      </c>
      <c r="B7" s="3" t="s">
        <v>21</v>
      </c>
      <c r="C7" s="3" t="s">
        <v>23</v>
      </c>
      <c r="D7" s="3" t="s">
        <v>24</v>
      </c>
      <c r="E7" s="3" t="s">
        <v>22</v>
      </c>
      <c r="F7" s="3">
        <v>2025</v>
      </c>
      <c r="G7" s="4">
        <v>4</v>
      </c>
      <c r="H7" s="4">
        <v>1</v>
      </c>
      <c r="I7" s="3" t="s">
        <v>643</v>
      </c>
      <c r="J7" s="3" t="s">
        <v>255</v>
      </c>
      <c r="K7" s="3" t="s">
        <v>253</v>
      </c>
      <c r="L7" s="3" t="s">
        <v>391</v>
      </c>
      <c r="M7" s="3" t="s">
        <v>328</v>
      </c>
      <c r="N7" s="3" t="s">
        <v>450</v>
      </c>
      <c r="O7" s="3" t="s">
        <v>486</v>
      </c>
      <c r="P7" s="3" t="s">
        <v>764</v>
      </c>
      <c r="Q7" s="4">
        <v>2</v>
      </c>
      <c r="R7" s="3" t="s">
        <v>472</v>
      </c>
      <c r="S7" t="s">
        <v>700</v>
      </c>
      <c r="T7" t="s">
        <v>1401</v>
      </c>
      <c r="U7" t="s">
        <v>1243</v>
      </c>
      <c r="V7" t="s">
        <v>1103</v>
      </c>
      <c r="W7" s="3" t="s">
        <v>1046</v>
      </c>
      <c r="X7" s="3" t="s">
        <v>676</v>
      </c>
      <c r="Y7" s="3" t="s">
        <v>941</v>
      </c>
      <c r="Z7" s="3" t="s">
        <v>994</v>
      </c>
      <c r="AA7" s="6" t="s">
        <v>1415</v>
      </c>
      <c r="AB7" s="6" t="s">
        <v>1416</v>
      </c>
    </row>
    <row r="8" spans="1:30" x14ac:dyDescent="0.35">
      <c r="A8" t="s">
        <v>275</v>
      </c>
      <c r="B8" s="3" t="s">
        <v>25</v>
      </c>
      <c r="C8" s="3" t="s">
        <v>27</v>
      </c>
      <c r="D8" s="3" t="s">
        <v>28</v>
      </c>
      <c r="E8" s="3" t="s">
        <v>26</v>
      </c>
      <c r="F8" s="3">
        <v>2025</v>
      </c>
      <c r="G8" s="4">
        <v>3</v>
      </c>
      <c r="H8" s="4">
        <v>3</v>
      </c>
      <c r="I8" s="3" t="s">
        <v>643</v>
      </c>
      <c r="J8" s="3" t="s">
        <v>256</v>
      </c>
      <c r="K8" s="3" t="s">
        <v>253</v>
      </c>
      <c r="L8" s="3" t="s">
        <v>392</v>
      </c>
      <c r="M8" s="3" t="s">
        <v>328</v>
      </c>
      <c r="N8" s="3" t="s">
        <v>451</v>
      </c>
      <c r="O8" s="3" t="s">
        <v>489</v>
      </c>
      <c r="P8" s="3" t="s">
        <v>764</v>
      </c>
      <c r="Q8" s="4">
        <v>2</v>
      </c>
      <c r="R8" s="3" t="s">
        <v>472</v>
      </c>
      <c r="S8" t="s">
        <v>701</v>
      </c>
      <c r="T8" t="s">
        <v>1401</v>
      </c>
      <c r="U8" t="s">
        <v>1244</v>
      </c>
      <c r="V8" t="s">
        <v>1296</v>
      </c>
      <c r="W8" s="3" t="s">
        <v>1038</v>
      </c>
      <c r="X8" s="3" t="s">
        <v>717</v>
      </c>
      <c r="Y8" s="3" t="s">
        <v>942</v>
      </c>
      <c r="Z8" s="3" t="s">
        <v>994</v>
      </c>
      <c r="AA8" s="6" t="s">
        <v>1415</v>
      </c>
      <c r="AB8" s="6" t="s">
        <v>1416</v>
      </c>
    </row>
    <row r="9" spans="1:30" x14ac:dyDescent="0.35">
      <c r="A9" t="s">
        <v>269</v>
      </c>
      <c r="B9" s="3" t="s">
        <v>29</v>
      </c>
      <c r="C9" s="3" t="s">
        <v>31</v>
      </c>
      <c r="D9" s="3" t="s">
        <v>32</v>
      </c>
      <c r="E9" s="3" t="s">
        <v>30</v>
      </c>
      <c r="F9" s="3">
        <v>2025</v>
      </c>
      <c r="G9" s="4">
        <v>6</v>
      </c>
      <c r="H9" s="4">
        <v>0</v>
      </c>
      <c r="I9" s="3" t="s">
        <v>643</v>
      </c>
      <c r="J9" s="3" t="s">
        <v>257</v>
      </c>
      <c r="K9" s="3" t="s">
        <v>253</v>
      </c>
      <c r="L9" s="3" t="s">
        <v>1104</v>
      </c>
      <c r="M9" s="3" t="s">
        <v>393</v>
      </c>
      <c r="N9" s="3" t="s">
        <v>452</v>
      </c>
      <c r="O9" s="3" t="s">
        <v>492</v>
      </c>
      <c r="P9" s="3" t="s">
        <v>764</v>
      </c>
      <c r="Q9" s="4">
        <v>3</v>
      </c>
      <c r="R9" s="3" t="s">
        <v>612</v>
      </c>
      <c r="S9" t="s">
        <v>702</v>
      </c>
      <c r="T9" t="s">
        <v>995</v>
      </c>
      <c r="U9" t="s">
        <v>1245</v>
      </c>
      <c r="V9" t="s">
        <v>1296</v>
      </c>
      <c r="W9" s="3" t="s">
        <v>1039</v>
      </c>
      <c r="X9" s="3" t="s">
        <v>674</v>
      </c>
      <c r="Y9" s="3" t="s">
        <v>943</v>
      </c>
      <c r="Z9" s="3" t="s">
        <v>995</v>
      </c>
      <c r="AA9" s="6" t="s">
        <v>1415</v>
      </c>
      <c r="AB9" s="6" t="s">
        <v>1416</v>
      </c>
    </row>
    <row r="10" spans="1:30" x14ac:dyDescent="0.35">
      <c r="A10" t="s">
        <v>270</v>
      </c>
      <c r="B10" s="3" t="s">
        <v>33</v>
      </c>
      <c r="C10" s="3" t="s">
        <v>35</v>
      </c>
      <c r="D10" s="3" t="s">
        <v>36</v>
      </c>
      <c r="E10" s="3" t="s">
        <v>34</v>
      </c>
      <c r="F10" s="3">
        <v>2025</v>
      </c>
      <c r="G10" s="4">
        <v>2</v>
      </c>
      <c r="H10" s="4">
        <v>0</v>
      </c>
      <c r="I10" s="3" t="s">
        <v>643</v>
      </c>
      <c r="J10" s="3" t="s">
        <v>258</v>
      </c>
      <c r="K10" s="3" t="s">
        <v>253</v>
      </c>
      <c r="L10" s="3" t="s">
        <v>394</v>
      </c>
      <c r="M10" s="3" t="s">
        <v>395</v>
      </c>
      <c r="N10" s="3" t="s">
        <v>453</v>
      </c>
      <c r="O10" s="3" t="s">
        <v>495</v>
      </c>
      <c r="P10" s="3" t="s">
        <v>764</v>
      </c>
      <c r="Q10" s="4">
        <v>3</v>
      </c>
      <c r="R10" s="3" t="s">
        <v>619</v>
      </c>
      <c r="S10" t="s">
        <v>703</v>
      </c>
      <c r="T10" t="s">
        <v>1401</v>
      </c>
      <c r="U10" t="s">
        <v>1246</v>
      </c>
      <c r="V10" t="s">
        <v>1297</v>
      </c>
      <c r="W10" s="3" t="s">
        <v>1040</v>
      </c>
      <c r="X10" s="3" t="s">
        <v>717</v>
      </c>
      <c r="Y10" s="3" t="s">
        <v>944</v>
      </c>
      <c r="Z10" s="3" t="s">
        <v>994</v>
      </c>
      <c r="AA10" s="6" t="s">
        <v>1415</v>
      </c>
      <c r="AB10" s="6" t="s">
        <v>1416</v>
      </c>
    </row>
    <row r="11" spans="1:30" x14ac:dyDescent="0.35">
      <c r="A11" t="s">
        <v>276</v>
      </c>
      <c r="B11" s="3" t="s">
        <v>37</v>
      </c>
      <c r="C11" s="3" t="s">
        <v>39</v>
      </c>
      <c r="D11" s="3" t="s">
        <v>40</v>
      </c>
      <c r="E11" s="3" t="s">
        <v>38</v>
      </c>
      <c r="F11" s="3">
        <v>2025</v>
      </c>
      <c r="G11" s="4">
        <v>4</v>
      </c>
      <c r="H11" s="4">
        <v>2</v>
      </c>
      <c r="I11" s="3" t="s">
        <v>643</v>
      </c>
      <c r="J11" s="3" t="s">
        <v>259</v>
      </c>
      <c r="K11" s="3" t="s">
        <v>253</v>
      </c>
      <c r="L11" s="3" t="s">
        <v>396</v>
      </c>
      <c r="M11" s="3" t="s">
        <v>343</v>
      </c>
      <c r="N11" s="3" t="s">
        <v>454</v>
      </c>
      <c r="O11" s="3" t="s">
        <v>326</v>
      </c>
      <c r="P11" s="3" t="s">
        <v>764</v>
      </c>
      <c r="Q11" s="4">
        <v>3</v>
      </c>
      <c r="R11" s="3" t="s">
        <v>613</v>
      </c>
      <c r="S11" t="s">
        <v>704</v>
      </c>
      <c r="T11" t="s">
        <v>1400</v>
      </c>
      <c r="U11" t="s">
        <v>1247</v>
      </c>
      <c r="V11" t="s">
        <v>1297</v>
      </c>
      <c r="W11" s="3" t="s">
        <v>1041</v>
      </c>
      <c r="X11" s="3" t="s">
        <v>675</v>
      </c>
      <c r="Y11" s="3" t="s">
        <v>945</v>
      </c>
      <c r="Z11" s="3" t="s">
        <v>994</v>
      </c>
      <c r="AA11" s="6" t="s">
        <v>1415</v>
      </c>
      <c r="AB11" s="6" t="s">
        <v>1416</v>
      </c>
    </row>
    <row r="12" spans="1:30" x14ac:dyDescent="0.35">
      <c r="A12" t="s">
        <v>277</v>
      </c>
      <c r="B12" s="3" t="s">
        <v>41</v>
      </c>
      <c r="C12" s="3" t="s">
        <v>43</v>
      </c>
      <c r="D12" s="3" t="s">
        <v>44</v>
      </c>
      <c r="E12" s="3" t="s">
        <v>42</v>
      </c>
      <c r="F12" s="3">
        <v>2024</v>
      </c>
      <c r="G12" s="4">
        <v>4</v>
      </c>
      <c r="H12" s="4">
        <v>0</v>
      </c>
      <c r="I12" s="3" t="s">
        <v>643</v>
      </c>
      <c r="J12" s="3" t="s">
        <v>260</v>
      </c>
      <c r="K12" s="3" t="s">
        <v>253</v>
      </c>
      <c r="L12" s="3" t="s">
        <v>397</v>
      </c>
      <c r="M12" s="3" t="s">
        <v>328</v>
      </c>
      <c r="N12" s="3" t="s">
        <v>455</v>
      </c>
      <c r="O12" s="3" t="s">
        <v>500</v>
      </c>
      <c r="P12" s="3" t="s">
        <v>764</v>
      </c>
      <c r="Q12" s="4">
        <v>2</v>
      </c>
      <c r="R12" s="3" t="s">
        <v>472</v>
      </c>
      <c r="S12" t="s">
        <v>747</v>
      </c>
      <c r="T12" t="s">
        <v>1401</v>
      </c>
      <c r="U12" t="s">
        <v>1248</v>
      </c>
      <c r="V12" t="s">
        <v>1296</v>
      </c>
      <c r="W12" s="3" t="s">
        <v>1048</v>
      </c>
      <c r="X12" s="3" t="s">
        <v>717</v>
      </c>
      <c r="Y12" s="3" t="s">
        <v>946</v>
      </c>
      <c r="Z12" s="3" t="s">
        <v>994</v>
      </c>
      <c r="AA12" s="6" t="s">
        <v>1416</v>
      </c>
      <c r="AB12" s="6" t="s">
        <v>1415</v>
      </c>
    </row>
    <row r="13" spans="1:30" x14ac:dyDescent="0.35">
      <c r="A13" t="s">
        <v>278</v>
      </c>
      <c r="B13" s="3" t="s">
        <v>45</v>
      </c>
      <c r="C13" s="3" t="s">
        <v>47</v>
      </c>
      <c r="D13" s="3" t="s">
        <v>48</v>
      </c>
      <c r="E13" s="3" t="s">
        <v>46</v>
      </c>
      <c r="F13" s="3">
        <v>2023</v>
      </c>
      <c r="G13" s="4">
        <v>6</v>
      </c>
      <c r="H13" s="4">
        <v>47</v>
      </c>
      <c r="I13" s="3" t="s">
        <v>643</v>
      </c>
      <c r="J13" s="3" t="s">
        <v>261</v>
      </c>
      <c r="K13" s="3" t="s">
        <v>253</v>
      </c>
      <c r="L13" s="3" t="s">
        <v>398</v>
      </c>
      <c r="M13" s="3" t="s">
        <v>328</v>
      </c>
      <c r="N13" s="3" t="s">
        <v>456</v>
      </c>
      <c r="O13" s="3" t="s">
        <v>503</v>
      </c>
      <c r="P13" s="3" t="s">
        <v>764</v>
      </c>
      <c r="Q13" s="4">
        <v>3</v>
      </c>
      <c r="R13" s="3" t="s">
        <v>617</v>
      </c>
      <c r="S13" t="s">
        <v>687</v>
      </c>
      <c r="T13" t="s">
        <v>995</v>
      </c>
      <c r="U13" t="s">
        <v>1249</v>
      </c>
      <c r="V13" t="s">
        <v>1297</v>
      </c>
      <c r="W13" s="3" t="s">
        <v>1049</v>
      </c>
      <c r="X13" s="3" t="s">
        <v>675</v>
      </c>
      <c r="Y13" s="3" t="s">
        <v>947</v>
      </c>
      <c r="Z13" s="3" t="s">
        <v>994</v>
      </c>
      <c r="AA13" s="6" t="s">
        <v>1416</v>
      </c>
      <c r="AB13" s="6" t="s">
        <v>1415</v>
      </c>
    </row>
    <row r="14" spans="1:30" x14ac:dyDescent="0.35">
      <c r="A14" t="s">
        <v>279</v>
      </c>
      <c r="B14" s="3" t="s">
        <v>49</v>
      </c>
      <c r="C14" s="3" t="s">
        <v>52</v>
      </c>
      <c r="D14" s="3" t="s">
        <v>53</v>
      </c>
      <c r="E14" s="3" t="s">
        <v>51</v>
      </c>
      <c r="F14" s="3">
        <v>2024</v>
      </c>
      <c r="G14" s="4">
        <v>4</v>
      </c>
      <c r="H14" s="4">
        <v>9</v>
      </c>
      <c r="I14" s="3" t="s">
        <v>244</v>
      </c>
      <c r="J14" s="3" t="s">
        <v>50</v>
      </c>
      <c r="K14" s="3" t="s">
        <v>253</v>
      </c>
      <c r="L14" s="3" t="s">
        <v>399</v>
      </c>
      <c r="M14" s="3" t="s">
        <v>328</v>
      </c>
      <c r="N14" s="3" t="s">
        <v>457</v>
      </c>
      <c r="O14" s="3" t="s">
        <v>481</v>
      </c>
      <c r="P14" s="3" t="s">
        <v>764</v>
      </c>
      <c r="Q14" s="4">
        <v>2</v>
      </c>
      <c r="R14" s="3" t="s">
        <v>472</v>
      </c>
      <c r="S14" t="s">
        <v>688</v>
      </c>
      <c r="T14" t="s">
        <v>1401</v>
      </c>
      <c r="U14" s="3" t="s">
        <v>1250</v>
      </c>
      <c r="V14" s="3" t="s">
        <v>1103</v>
      </c>
      <c r="W14" s="3" t="s">
        <v>1050</v>
      </c>
      <c r="X14" s="3" t="s">
        <v>717</v>
      </c>
      <c r="Y14" s="3" t="s">
        <v>948</v>
      </c>
      <c r="Z14" s="3" t="s">
        <v>994</v>
      </c>
      <c r="AA14" s="6" t="s">
        <v>1416</v>
      </c>
      <c r="AB14" s="6" t="s">
        <v>1415</v>
      </c>
    </row>
    <row r="15" spans="1:30" x14ac:dyDescent="0.35">
      <c r="A15" t="s">
        <v>280</v>
      </c>
      <c r="B15" s="3" t="s">
        <v>54</v>
      </c>
      <c r="C15" s="3" t="s">
        <v>56</v>
      </c>
      <c r="D15" s="3" t="s">
        <v>57</v>
      </c>
      <c r="E15" s="3" t="s">
        <v>55</v>
      </c>
      <c r="F15" s="3">
        <v>2025</v>
      </c>
      <c r="G15" s="4">
        <v>5</v>
      </c>
      <c r="H15" s="4">
        <v>1</v>
      </c>
      <c r="I15" s="3" t="s">
        <v>643</v>
      </c>
      <c r="J15" s="3" t="s">
        <v>262</v>
      </c>
      <c r="K15" s="3" t="s">
        <v>253</v>
      </c>
      <c r="L15" s="3" t="s">
        <v>400</v>
      </c>
      <c r="M15" s="3" t="s">
        <v>328</v>
      </c>
      <c r="N15" s="3" t="s">
        <v>458</v>
      </c>
      <c r="O15" s="3" t="s">
        <v>508</v>
      </c>
      <c r="P15" s="3" t="s">
        <v>764</v>
      </c>
      <c r="Q15" s="4">
        <v>2</v>
      </c>
      <c r="R15" s="3" t="s">
        <v>618</v>
      </c>
      <c r="S15" t="s">
        <v>689</v>
      </c>
      <c r="T15" t="s">
        <v>1401</v>
      </c>
      <c r="U15" t="s">
        <v>1251</v>
      </c>
      <c r="V15" t="s">
        <v>1296</v>
      </c>
      <c r="W15" s="3" t="s">
        <v>1051</v>
      </c>
      <c r="X15" s="3" t="s">
        <v>674</v>
      </c>
      <c r="Y15" s="3" t="s">
        <v>949</v>
      </c>
      <c r="Z15" s="3" t="s">
        <v>717</v>
      </c>
      <c r="AA15" s="6" t="s">
        <v>1416</v>
      </c>
      <c r="AB15" s="6" t="s">
        <v>1415</v>
      </c>
    </row>
    <row r="16" spans="1:30" x14ac:dyDescent="0.35">
      <c r="A16" t="s">
        <v>281</v>
      </c>
      <c r="B16" s="3" t="s">
        <v>58</v>
      </c>
      <c r="C16" s="3" t="s">
        <v>60</v>
      </c>
      <c r="D16" s="3" t="s">
        <v>61</v>
      </c>
      <c r="E16" s="3" t="s">
        <v>59</v>
      </c>
      <c r="F16" s="3">
        <v>2025</v>
      </c>
      <c r="G16" s="4">
        <v>2</v>
      </c>
      <c r="H16" s="4">
        <v>0</v>
      </c>
      <c r="I16" s="3" t="s">
        <v>643</v>
      </c>
      <c r="J16" s="3" t="s">
        <v>263</v>
      </c>
      <c r="K16" s="3" t="s">
        <v>253</v>
      </c>
      <c r="L16" s="3" t="s">
        <v>401</v>
      </c>
      <c r="M16" s="3" t="s">
        <v>375</v>
      </c>
      <c r="N16" s="3" t="s">
        <v>459</v>
      </c>
      <c r="O16" s="3" t="s">
        <v>511</v>
      </c>
      <c r="P16" s="3" t="s">
        <v>764</v>
      </c>
      <c r="Q16" s="4">
        <v>2</v>
      </c>
      <c r="R16" s="3" t="s">
        <v>618</v>
      </c>
      <c r="S16" t="s">
        <v>690</v>
      </c>
      <c r="T16" t="s">
        <v>1407</v>
      </c>
      <c r="U16" t="s">
        <v>1252</v>
      </c>
      <c r="V16" t="s">
        <v>1296</v>
      </c>
      <c r="W16" s="3" t="s">
        <v>1052</v>
      </c>
      <c r="X16" s="3" t="s">
        <v>675</v>
      </c>
      <c r="Y16" s="3" t="s">
        <v>950</v>
      </c>
      <c r="Z16" s="3" t="s">
        <v>994</v>
      </c>
      <c r="AA16" s="6" t="s">
        <v>1416</v>
      </c>
      <c r="AB16" s="6" t="s">
        <v>1415</v>
      </c>
    </row>
    <row r="17" spans="1:28" x14ac:dyDescent="0.35">
      <c r="A17" t="s">
        <v>282</v>
      </c>
      <c r="B17" s="3" t="s">
        <v>62</v>
      </c>
      <c r="C17" s="3" t="s">
        <v>65</v>
      </c>
      <c r="D17" s="3" t="s">
        <v>66</v>
      </c>
      <c r="E17" s="3" t="s">
        <v>64</v>
      </c>
      <c r="F17" s="3">
        <v>2024</v>
      </c>
      <c r="G17" s="4">
        <v>7</v>
      </c>
      <c r="H17" s="4">
        <v>27</v>
      </c>
      <c r="I17" s="3" t="s">
        <v>244</v>
      </c>
      <c r="J17" s="3" t="s">
        <v>63</v>
      </c>
      <c r="K17" s="3" t="s">
        <v>264</v>
      </c>
      <c r="L17" s="3" t="s">
        <v>402</v>
      </c>
      <c r="M17" s="3" t="s">
        <v>328</v>
      </c>
      <c r="N17" s="3" t="s">
        <v>460</v>
      </c>
      <c r="O17" s="3" t="s">
        <v>514</v>
      </c>
      <c r="P17" s="3" t="s">
        <v>764</v>
      </c>
      <c r="Q17" s="4">
        <v>2</v>
      </c>
      <c r="R17" s="3" t="s">
        <v>472</v>
      </c>
      <c r="S17" t="s">
        <v>691</v>
      </c>
      <c r="T17" t="s">
        <v>1407</v>
      </c>
      <c r="U17" t="s">
        <v>1253</v>
      </c>
      <c r="V17" t="s">
        <v>1296</v>
      </c>
      <c r="W17" s="3" t="s">
        <v>1053</v>
      </c>
      <c r="X17" s="3" t="s">
        <v>717</v>
      </c>
      <c r="Y17" s="3" t="s">
        <v>951</v>
      </c>
      <c r="Z17" s="3" t="s">
        <v>994</v>
      </c>
      <c r="AA17" s="6" t="s">
        <v>1416</v>
      </c>
      <c r="AB17" s="6" t="s">
        <v>1415</v>
      </c>
    </row>
    <row r="18" spans="1:28" x14ac:dyDescent="0.35">
      <c r="A18" t="s">
        <v>283</v>
      </c>
      <c r="B18" s="3" t="s">
        <v>67</v>
      </c>
      <c r="C18" s="3" t="s">
        <v>69</v>
      </c>
      <c r="D18" s="3" t="s">
        <v>70</v>
      </c>
      <c r="E18" s="3" t="s">
        <v>68</v>
      </c>
      <c r="F18" s="3">
        <v>2025</v>
      </c>
      <c r="G18" s="4">
        <v>5</v>
      </c>
      <c r="H18" s="4">
        <v>0</v>
      </c>
      <c r="I18" s="3" t="s">
        <v>643</v>
      </c>
      <c r="J18" s="3" t="s">
        <v>265</v>
      </c>
      <c r="K18" s="3" t="s">
        <v>253</v>
      </c>
      <c r="L18" s="3" t="s">
        <v>403</v>
      </c>
      <c r="M18" s="3" t="s">
        <v>339</v>
      </c>
      <c r="N18" s="3" t="s">
        <v>462</v>
      </c>
      <c r="O18" s="3" t="s">
        <v>517</v>
      </c>
      <c r="P18" s="3" t="s">
        <v>764</v>
      </c>
      <c r="Q18" s="4">
        <v>2</v>
      </c>
      <c r="R18" s="3" t="s">
        <v>472</v>
      </c>
      <c r="S18" t="s">
        <v>692</v>
      </c>
      <c r="T18" t="s">
        <v>1406</v>
      </c>
      <c r="U18" t="s">
        <v>1254</v>
      </c>
      <c r="V18" t="s">
        <v>1103</v>
      </c>
      <c r="W18" s="3" t="s">
        <v>1054</v>
      </c>
      <c r="X18" s="3" t="s">
        <v>676</v>
      </c>
      <c r="Y18" s="3" t="s">
        <v>952</v>
      </c>
      <c r="Z18" s="3" t="s">
        <v>997</v>
      </c>
      <c r="AA18" s="6" t="s">
        <v>1416</v>
      </c>
      <c r="AB18" s="6" t="s">
        <v>1415</v>
      </c>
    </row>
    <row r="19" spans="1:28" x14ac:dyDescent="0.35">
      <c r="A19" t="s">
        <v>284</v>
      </c>
      <c r="B19" s="3" t="s">
        <v>71</v>
      </c>
      <c r="C19" s="3" t="s">
        <v>74</v>
      </c>
      <c r="D19" s="3" t="s">
        <v>75</v>
      </c>
      <c r="E19" s="3" t="s">
        <v>73</v>
      </c>
      <c r="F19" s="3">
        <v>2025</v>
      </c>
      <c r="G19" s="4">
        <v>5</v>
      </c>
      <c r="H19" s="4">
        <v>22</v>
      </c>
      <c r="I19" s="3" t="s">
        <v>244</v>
      </c>
      <c r="J19" s="3" t="s">
        <v>72</v>
      </c>
      <c r="K19" s="3" t="s">
        <v>253</v>
      </c>
      <c r="L19" s="3" t="s">
        <v>404</v>
      </c>
      <c r="M19" s="3" t="s">
        <v>328</v>
      </c>
      <c r="N19" s="3" t="s">
        <v>748</v>
      </c>
      <c r="O19" s="3" t="s">
        <v>520</v>
      </c>
      <c r="P19" s="3" t="s">
        <v>764</v>
      </c>
      <c r="Q19" s="4">
        <v>2</v>
      </c>
      <c r="R19" s="3" t="s">
        <v>472</v>
      </c>
      <c r="S19" t="s">
        <v>693</v>
      </c>
      <c r="T19" t="s">
        <v>1405</v>
      </c>
      <c r="U19" t="s">
        <v>1255</v>
      </c>
      <c r="V19" t="s">
        <v>1103</v>
      </c>
      <c r="W19" s="3" t="s">
        <v>1047</v>
      </c>
      <c r="X19" s="3" t="s">
        <v>717</v>
      </c>
      <c r="Y19" s="3" t="s">
        <v>953</v>
      </c>
      <c r="Z19" s="3" t="s">
        <v>994</v>
      </c>
      <c r="AA19" s="6" t="s">
        <v>1416</v>
      </c>
      <c r="AB19" s="6" t="s">
        <v>1415</v>
      </c>
    </row>
    <row r="20" spans="1:28" x14ac:dyDescent="0.35">
      <c r="A20" t="s">
        <v>285</v>
      </c>
      <c r="B20" s="3" t="s">
        <v>76</v>
      </c>
      <c r="C20" s="3" t="s">
        <v>78</v>
      </c>
      <c r="D20" s="3" t="s">
        <v>79</v>
      </c>
      <c r="E20" s="3" t="s">
        <v>77</v>
      </c>
      <c r="F20" s="3">
        <v>2025</v>
      </c>
      <c r="G20" s="4">
        <v>5</v>
      </c>
      <c r="H20" s="4">
        <v>8</v>
      </c>
      <c r="I20" s="3" t="s">
        <v>643</v>
      </c>
      <c r="J20" s="3" t="s">
        <v>262</v>
      </c>
      <c r="K20" s="3" t="s">
        <v>253</v>
      </c>
      <c r="L20" s="3" t="s">
        <v>405</v>
      </c>
      <c r="M20" s="3" t="s">
        <v>375</v>
      </c>
      <c r="N20" s="3" t="s">
        <v>463</v>
      </c>
      <c r="O20" s="3" t="s">
        <v>446</v>
      </c>
      <c r="P20" s="3" t="s">
        <v>764</v>
      </c>
      <c r="Q20" s="4">
        <v>2</v>
      </c>
      <c r="R20" s="3" t="s">
        <v>801</v>
      </c>
      <c r="S20" t="s">
        <v>694</v>
      </c>
      <c r="T20" t="s">
        <v>1401</v>
      </c>
      <c r="U20" t="s">
        <v>1256</v>
      </c>
      <c r="V20" t="s">
        <v>1297</v>
      </c>
      <c r="W20" s="3" t="s">
        <v>1055</v>
      </c>
      <c r="X20" s="3" t="s">
        <v>675</v>
      </c>
      <c r="Y20" s="3" t="s">
        <v>954</v>
      </c>
      <c r="Z20" s="3" t="s">
        <v>994</v>
      </c>
      <c r="AA20" s="6" t="s">
        <v>1416</v>
      </c>
      <c r="AB20" s="6" t="s">
        <v>1415</v>
      </c>
    </row>
    <row r="21" spans="1:28" x14ac:dyDescent="0.35">
      <c r="A21" t="s">
        <v>286</v>
      </c>
      <c r="B21" s="3" t="s">
        <v>80</v>
      </c>
      <c r="C21" s="3" t="s">
        <v>82</v>
      </c>
      <c r="D21" s="3" t="s">
        <v>83</v>
      </c>
      <c r="E21" s="3" t="s">
        <v>81</v>
      </c>
      <c r="F21" s="3">
        <v>2025</v>
      </c>
      <c r="G21" s="4">
        <v>4</v>
      </c>
      <c r="H21" s="4">
        <v>2</v>
      </c>
      <c r="I21" s="3" t="s">
        <v>643</v>
      </c>
      <c r="J21" s="3" t="s">
        <v>254</v>
      </c>
      <c r="K21" s="3" t="s">
        <v>253</v>
      </c>
      <c r="L21" s="3" t="s">
        <v>391</v>
      </c>
      <c r="M21" s="3" t="s">
        <v>328</v>
      </c>
      <c r="N21" s="3" t="s">
        <v>464</v>
      </c>
      <c r="O21" s="3" t="s">
        <v>525</v>
      </c>
      <c r="P21" s="3" t="s">
        <v>764</v>
      </c>
      <c r="Q21" s="4">
        <v>4</v>
      </c>
      <c r="R21" s="3" t="s">
        <v>625</v>
      </c>
      <c r="S21" t="s">
        <v>695</v>
      </c>
      <c r="T21" t="s">
        <v>1402</v>
      </c>
      <c r="U21" t="s">
        <v>1257</v>
      </c>
      <c r="V21" t="s">
        <v>1296</v>
      </c>
      <c r="W21" s="3" t="s">
        <v>1056</v>
      </c>
      <c r="X21" s="3" t="s">
        <v>676</v>
      </c>
      <c r="Y21" s="3" t="s">
        <v>955</v>
      </c>
      <c r="Z21" s="3" t="s">
        <v>994</v>
      </c>
      <c r="AA21" s="6" t="s">
        <v>1416</v>
      </c>
      <c r="AB21" s="6" t="s">
        <v>1415</v>
      </c>
    </row>
    <row r="22" spans="1:28" x14ac:dyDescent="0.35">
      <c r="A22" t="s">
        <v>287</v>
      </c>
      <c r="B22" s="3" t="s">
        <v>84</v>
      </c>
      <c r="C22" s="3" t="s">
        <v>87</v>
      </c>
      <c r="D22" s="3" t="s">
        <v>88</v>
      </c>
      <c r="E22" s="3" t="s">
        <v>86</v>
      </c>
      <c r="F22" s="3">
        <v>2025</v>
      </c>
      <c r="G22" s="4">
        <v>8</v>
      </c>
      <c r="H22" s="4">
        <v>65</v>
      </c>
      <c r="I22" s="3" t="s">
        <v>244</v>
      </c>
      <c r="J22" s="3" t="s">
        <v>85</v>
      </c>
      <c r="K22" s="3" t="s">
        <v>264</v>
      </c>
      <c r="L22" s="3" t="s">
        <v>406</v>
      </c>
      <c r="M22" s="3" t="s">
        <v>328</v>
      </c>
      <c r="N22" s="3" t="s">
        <v>407</v>
      </c>
      <c r="O22" s="3" t="s">
        <v>528</v>
      </c>
      <c r="P22" s="3" t="s">
        <v>767</v>
      </c>
      <c r="Q22" s="4">
        <v>3</v>
      </c>
      <c r="R22" s="3" t="s">
        <v>621</v>
      </c>
      <c r="S22" t="s">
        <v>705</v>
      </c>
      <c r="T22" t="s">
        <v>1407</v>
      </c>
      <c r="U22" t="s">
        <v>1258</v>
      </c>
      <c r="V22" t="s">
        <v>1297</v>
      </c>
      <c r="W22" s="3" t="s">
        <v>1061</v>
      </c>
      <c r="X22" s="3" t="s">
        <v>673</v>
      </c>
      <c r="Y22" s="3" t="s">
        <v>956</v>
      </c>
      <c r="Z22" s="3" t="s">
        <v>996</v>
      </c>
      <c r="AA22" s="6" t="s">
        <v>1415</v>
      </c>
      <c r="AB22" s="6" t="s">
        <v>1416</v>
      </c>
    </row>
    <row r="23" spans="1:28" x14ac:dyDescent="0.35">
      <c r="A23" t="s">
        <v>288</v>
      </c>
      <c r="B23" s="3" t="s">
        <v>89</v>
      </c>
      <c r="C23" s="3" t="s">
        <v>92</v>
      </c>
      <c r="D23" s="3" t="s">
        <v>93</v>
      </c>
      <c r="E23" s="3" t="s">
        <v>91</v>
      </c>
      <c r="F23" s="3">
        <v>2023</v>
      </c>
      <c r="G23" s="4">
        <v>8</v>
      </c>
      <c r="H23" s="4">
        <v>79</v>
      </c>
      <c r="I23" s="3" t="s">
        <v>643</v>
      </c>
      <c r="J23" s="3" t="s">
        <v>90</v>
      </c>
      <c r="K23" s="3" t="s">
        <v>264</v>
      </c>
      <c r="L23" s="3" t="s">
        <v>408</v>
      </c>
      <c r="M23" s="3" t="s">
        <v>343</v>
      </c>
      <c r="N23" s="3" t="s">
        <v>466</v>
      </c>
      <c r="O23" s="3" t="s">
        <v>531</v>
      </c>
      <c r="P23" s="3" t="s">
        <v>767</v>
      </c>
      <c r="Q23" s="4">
        <v>2</v>
      </c>
      <c r="R23" s="3" t="s">
        <v>472</v>
      </c>
      <c r="S23" t="s">
        <v>706</v>
      </c>
      <c r="T23" t="s">
        <v>1401</v>
      </c>
      <c r="U23" t="s">
        <v>1259</v>
      </c>
      <c r="V23" t="s">
        <v>1299</v>
      </c>
      <c r="W23" s="3" t="s">
        <v>1062</v>
      </c>
      <c r="X23" s="3" t="s">
        <v>673</v>
      </c>
      <c r="Y23" s="3" t="s">
        <v>957</v>
      </c>
      <c r="Z23" s="3" t="s">
        <v>994</v>
      </c>
      <c r="AA23" s="6" t="s">
        <v>1415</v>
      </c>
      <c r="AB23" s="6" t="s">
        <v>1416</v>
      </c>
    </row>
    <row r="24" spans="1:28" x14ac:dyDescent="0.35">
      <c r="A24" t="s">
        <v>289</v>
      </c>
      <c r="B24" s="3" t="s">
        <v>94</v>
      </c>
      <c r="C24" s="3" t="s">
        <v>96</v>
      </c>
      <c r="D24" s="3" t="s">
        <v>97</v>
      </c>
      <c r="E24" s="3" t="s">
        <v>95</v>
      </c>
      <c r="F24" s="3">
        <v>2024</v>
      </c>
      <c r="G24" s="4">
        <v>10</v>
      </c>
      <c r="H24" s="4">
        <v>78</v>
      </c>
      <c r="I24" s="3" t="s">
        <v>244</v>
      </c>
      <c r="J24" s="3" t="s">
        <v>85</v>
      </c>
      <c r="K24" s="3" t="s">
        <v>264</v>
      </c>
      <c r="L24" s="3" t="s">
        <v>409</v>
      </c>
      <c r="M24" s="3" t="s">
        <v>328</v>
      </c>
      <c r="N24" s="3" t="s">
        <v>410</v>
      </c>
      <c r="O24" s="3" t="s">
        <v>534</v>
      </c>
      <c r="P24" s="3" t="s">
        <v>767</v>
      </c>
      <c r="Q24" s="4">
        <v>3</v>
      </c>
      <c r="R24" s="3" t="s">
        <v>617</v>
      </c>
      <c r="S24" t="s">
        <v>707</v>
      </c>
      <c r="T24" t="s">
        <v>1402</v>
      </c>
      <c r="U24" t="s">
        <v>1260</v>
      </c>
      <c r="V24" t="s">
        <v>1299</v>
      </c>
      <c r="W24" s="3" t="s">
        <v>1063</v>
      </c>
      <c r="X24" s="3" t="s">
        <v>673</v>
      </c>
      <c r="Y24" s="3" t="s">
        <v>958</v>
      </c>
      <c r="Z24" s="3" t="s">
        <v>685</v>
      </c>
      <c r="AA24" s="6" t="s">
        <v>1415</v>
      </c>
      <c r="AB24" s="6" t="s">
        <v>1416</v>
      </c>
    </row>
    <row r="25" spans="1:28" x14ac:dyDescent="0.35">
      <c r="A25" t="s">
        <v>290</v>
      </c>
      <c r="B25" s="3" t="s">
        <v>98</v>
      </c>
      <c r="C25" s="3" t="s">
        <v>101</v>
      </c>
      <c r="D25" s="3" t="s">
        <v>102</v>
      </c>
      <c r="E25" s="3" t="s">
        <v>100</v>
      </c>
      <c r="F25" s="3">
        <v>2025</v>
      </c>
      <c r="G25" s="4">
        <v>4</v>
      </c>
      <c r="H25" s="4">
        <v>0</v>
      </c>
      <c r="I25" s="3" t="s">
        <v>643</v>
      </c>
      <c r="J25" s="3" t="s">
        <v>99</v>
      </c>
      <c r="K25" s="3" t="s">
        <v>264</v>
      </c>
      <c r="L25" s="3" t="s">
        <v>411</v>
      </c>
      <c r="M25" s="3" t="s">
        <v>328</v>
      </c>
      <c r="N25" s="3" t="s">
        <v>412</v>
      </c>
      <c r="O25" s="3" t="s">
        <v>481</v>
      </c>
      <c r="P25" s="3" t="s">
        <v>767</v>
      </c>
      <c r="Q25" s="4">
        <v>2</v>
      </c>
      <c r="R25" s="3" t="s">
        <v>472</v>
      </c>
      <c r="S25" t="s">
        <v>708</v>
      </c>
      <c r="T25" t="s">
        <v>1401</v>
      </c>
      <c r="U25" t="s">
        <v>1261</v>
      </c>
      <c r="V25" t="s">
        <v>1297</v>
      </c>
      <c r="W25" s="3" t="s">
        <v>1064</v>
      </c>
      <c r="X25" s="3" t="s">
        <v>676</v>
      </c>
      <c r="Y25" s="3" t="s">
        <v>959</v>
      </c>
      <c r="Z25" s="3" t="s">
        <v>717</v>
      </c>
      <c r="AA25" s="6" t="s">
        <v>1415</v>
      </c>
      <c r="AB25" s="6" t="s">
        <v>1416</v>
      </c>
    </row>
    <row r="26" spans="1:28" x14ac:dyDescent="0.35">
      <c r="A26" t="s">
        <v>291</v>
      </c>
      <c r="B26" s="3" t="s">
        <v>610</v>
      </c>
      <c r="C26" s="3" t="s">
        <v>1108</v>
      </c>
      <c r="D26" s="3" t="s">
        <v>105</v>
      </c>
      <c r="E26" s="3" t="s">
        <v>104</v>
      </c>
      <c r="F26" s="3">
        <v>2026</v>
      </c>
      <c r="G26" s="4">
        <v>5</v>
      </c>
      <c r="H26" s="4">
        <v>1</v>
      </c>
      <c r="I26" s="3" t="s">
        <v>244</v>
      </c>
      <c r="J26" s="3" t="s">
        <v>103</v>
      </c>
      <c r="K26" s="3" t="s">
        <v>325</v>
      </c>
      <c r="L26" s="3" t="s">
        <v>327</v>
      </c>
      <c r="M26" s="3" t="s">
        <v>328</v>
      </c>
      <c r="N26" s="3" t="s">
        <v>329</v>
      </c>
      <c r="O26" s="3" t="s">
        <v>326</v>
      </c>
      <c r="P26" s="3" t="s">
        <v>768</v>
      </c>
      <c r="Q26" s="4">
        <v>2</v>
      </c>
      <c r="R26" s="3" t="s">
        <v>472</v>
      </c>
      <c r="S26" t="s">
        <v>709</v>
      </c>
      <c r="T26" t="s">
        <v>995</v>
      </c>
      <c r="U26" t="s">
        <v>1262</v>
      </c>
      <c r="V26" t="s">
        <v>1297</v>
      </c>
      <c r="W26" s="3" t="s">
        <v>1057</v>
      </c>
      <c r="X26" s="3" t="s">
        <v>717</v>
      </c>
      <c r="Y26" s="3" t="s">
        <v>960</v>
      </c>
      <c r="Z26" s="3" t="s">
        <v>996</v>
      </c>
      <c r="AA26" s="6" t="s">
        <v>1415</v>
      </c>
      <c r="AB26" s="6" t="s">
        <v>1416</v>
      </c>
    </row>
    <row r="27" spans="1:28" x14ac:dyDescent="0.35">
      <c r="A27" t="s">
        <v>292</v>
      </c>
      <c r="B27" s="3" t="s">
        <v>106</v>
      </c>
      <c r="C27" s="3" t="s">
        <v>109</v>
      </c>
      <c r="D27" s="3" t="s">
        <v>110</v>
      </c>
      <c r="E27" s="3" t="s">
        <v>108</v>
      </c>
      <c r="F27" s="3">
        <v>2026</v>
      </c>
      <c r="G27" s="4">
        <v>6</v>
      </c>
      <c r="H27" s="4">
        <v>3</v>
      </c>
      <c r="I27" s="3" t="s">
        <v>244</v>
      </c>
      <c r="J27" s="3" t="s">
        <v>107</v>
      </c>
      <c r="K27" s="3" t="s">
        <v>325</v>
      </c>
      <c r="L27" s="3" t="s">
        <v>331</v>
      </c>
      <c r="M27" s="3" t="s">
        <v>328</v>
      </c>
      <c r="N27" s="3" t="s">
        <v>330</v>
      </c>
      <c r="O27" s="3" t="s">
        <v>326</v>
      </c>
      <c r="P27" s="3" t="s">
        <v>768</v>
      </c>
      <c r="Q27" s="4">
        <v>2</v>
      </c>
      <c r="R27" s="3" t="s">
        <v>614</v>
      </c>
      <c r="S27" t="s">
        <v>710</v>
      </c>
      <c r="T27" t="s">
        <v>1401</v>
      </c>
      <c r="U27" t="s">
        <v>1263</v>
      </c>
      <c r="V27" t="s">
        <v>1297</v>
      </c>
      <c r="W27" s="3" t="s">
        <v>1058</v>
      </c>
      <c r="X27" s="3" t="s">
        <v>717</v>
      </c>
      <c r="Y27" s="3" t="s">
        <v>961</v>
      </c>
      <c r="Z27" s="3" t="s">
        <v>994</v>
      </c>
      <c r="AA27" s="6" t="s">
        <v>1415</v>
      </c>
      <c r="AB27" s="6" t="s">
        <v>1416</v>
      </c>
    </row>
    <row r="28" spans="1:28" x14ac:dyDescent="0.35">
      <c r="A28" t="s">
        <v>293</v>
      </c>
      <c r="B28" s="3" t="s">
        <v>111</v>
      </c>
      <c r="C28" s="3" t="s">
        <v>114</v>
      </c>
      <c r="D28" s="3" t="s">
        <v>115</v>
      </c>
      <c r="E28" s="3" t="s">
        <v>113</v>
      </c>
      <c r="F28" s="3">
        <v>2024</v>
      </c>
      <c r="G28" s="4">
        <v>6</v>
      </c>
      <c r="H28" s="4">
        <v>8</v>
      </c>
      <c r="I28" s="3" t="s">
        <v>244</v>
      </c>
      <c r="J28" s="3" t="s">
        <v>112</v>
      </c>
      <c r="K28" s="3" t="s">
        <v>334</v>
      </c>
      <c r="L28" s="3" t="s">
        <v>332</v>
      </c>
      <c r="M28" s="3" t="s">
        <v>328</v>
      </c>
      <c r="N28" s="3" t="s">
        <v>333</v>
      </c>
      <c r="O28" s="3" t="s">
        <v>543</v>
      </c>
      <c r="P28" s="3" t="s">
        <v>768</v>
      </c>
      <c r="Q28" s="4">
        <v>2</v>
      </c>
      <c r="R28" s="3" t="s">
        <v>615</v>
      </c>
      <c r="S28" t="s">
        <v>711</v>
      </c>
      <c r="T28" t="s">
        <v>1401</v>
      </c>
      <c r="U28" t="s">
        <v>1264</v>
      </c>
      <c r="V28" t="s">
        <v>1296</v>
      </c>
      <c r="W28" s="3" t="s">
        <v>1059</v>
      </c>
      <c r="X28" s="3" t="s">
        <v>717</v>
      </c>
      <c r="Y28" s="3" t="s">
        <v>962</v>
      </c>
      <c r="Z28" s="3" t="s">
        <v>995</v>
      </c>
      <c r="AA28" s="6" t="s">
        <v>1415</v>
      </c>
      <c r="AB28" s="6" t="s">
        <v>1416</v>
      </c>
    </row>
    <row r="29" spans="1:28" x14ac:dyDescent="0.35">
      <c r="A29" t="s">
        <v>294</v>
      </c>
      <c r="B29" s="3" t="s">
        <v>116</v>
      </c>
      <c r="C29" s="3" t="s">
        <v>119</v>
      </c>
      <c r="D29" s="3" t="s">
        <v>120</v>
      </c>
      <c r="E29" s="3" t="s">
        <v>118</v>
      </c>
      <c r="F29" s="3">
        <v>2023</v>
      </c>
      <c r="G29" s="4">
        <v>4</v>
      </c>
      <c r="H29" s="4">
        <v>88</v>
      </c>
      <c r="I29" s="3" t="s">
        <v>244</v>
      </c>
      <c r="J29" s="3" t="s">
        <v>117</v>
      </c>
      <c r="K29" s="3" t="s">
        <v>325</v>
      </c>
      <c r="L29" s="3" t="s">
        <v>335</v>
      </c>
      <c r="M29" s="3" t="s">
        <v>336</v>
      </c>
      <c r="N29" s="3" t="s">
        <v>414</v>
      </c>
      <c r="O29" s="3" t="s">
        <v>326</v>
      </c>
      <c r="P29" s="3" t="s">
        <v>768</v>
      </c>
      <c r="Q29" s="4">
        <v>2</v>
      </c>
      <c r="R29" s="3" t="s">
        <v>616</v>
      </c>
      <c r="S29" t="s">
        <v>712</v>
      </c>
      <c r="T29" t="s">
        <v>995</v>
      </c>
      <c r="U29" t="s">
        <v>1265</v>
      </c>
      <c r="V29" t="s">
        <v>1296</v>
      </c>
      <c r="W29" s="3" t="s">
        <v>1065</v>
      </c>
      <c r="X29" s="3" t="s">
        <v>717</v>
      </c>
      <c r="Y29" s="3" t="s">
        <v>963</v>
      </c>
      <c r="Z29" s="3" t="s">
        <v>995</v>
      </c>
      <c r="AA29" s="6" t="s">
        <v>1415</v>
      </c>
      <c r="AB29" s="6" t="s">
        <v>1416</v>
      </c>
    </row>
    <row r="30" spans="1:28" x14ac:dyDescent="0.35">
      <c r="A30" t="s">
        <v>295</v>
      </c>
      <c r="B30" s="3" t="s">
        <v>121</v>
      </c>
      <c r="C30" s="3" t="s">
        <v>122</v>
      </c>
      <c r="D30" s="3" t="s">
        <v>123</v>
      </c>
      <c r="E30" s="3" t="s">
        <v>337</v>
      </c>
      <c r="F30" s="3">
        <v>2026</v>
      </c>
      <c r="G30" s="4">
        <v>2</v>
      </c>
      <c r="H30" s="4">
        <v>0</v>
      </c>
      <c r="I30" s="3" t="s">
        <v>643</v>
      </c>
      <c r="J30" s="3" t="s">
        <v>340</v>
      </c>
      <c r="K30" s="3" t="s">
        <v>325</v>
      </c>
      <c r="L30" s="3" t="s">
        <v>338</v>
      </c>
      <c r="M30" s="3" t="s">
        <v>339</v>
      </c>
      <c r="N30" s="3" t="s">
        <v>415</v>
      </c>
      <c r="O30" s="3" t="s">
        <v>531</v>
      </c>
      <c r="P30" s="3" t="s">
        <v>768</v>
      </c>
      <c r="Q30" s="4">
        <v>2</v>
      </c>
      <c r="R30" s="3" t="s">
        <v>472</v>
      </c>
      <c r="S30" t="s">
        <v>713</v>
      </c>
      <c r="T30" t="s">
        <v>1401</v>
      </c>
      <c r="U30" t="s">
        <v>1266</v>
      </c>
      <c r="V30" t="s">
        <v>1296</v>
      </c>
      <c r="W30" s="3" t="s">
        <v>1066</v>
      </c>
      <c r="X30" s="3" t="s">
        <v>674</v>
      </c>
      <c r="Y30" s="3" t="s">
        <v>964</v>
      </c>
      <c r="Z30" s="3" t="s">
        <v>995</v>
      </c>
      <c r="AA30" s="6" t="s">
        <v>1415</v>
      </c>
      <c r="AB30" s="6" t="s">
        <v>1416</v>
      </c>
    </row>
    <row r="31" spans="1:28" x14ac:dyDescent="0.35">
      <c r="A31" t="s">
        <v>296</v>
      </c>
      <c r="B31" s="3" t="s">
        <v>124</v>
      </c>
      <c r="C31" s="3" t="s">
        <v>1395</v>
      </c>
      <c r="D31" s="3" t="s">
        <v>127</v>
      </c>
      <c r="E31" s="3" t="s">
        <v>126</v>
      </c>
      <c r="F31" s="3">
        <v>2025</v>
      </c>
      <c r="G31" s="4">
        <v>4</v>
      </c>
      <c r="H31" s="4">
        <v>8</v>
      </c>
      <c r="I31" s="3" t="s">
        <v>244</v>
      </c>
      <c r="J31" s="3" t="s">
        <v>125</v>
      </c>
      <c r="K31" s="3" t="s">
        <v>325</v>
      </c>
      <c r="L31" s="3" t="s">
        <v>341</v>
      </c>
      <c r="M31" s="3" t="s">
        <v>342</v>
      </c>
      <c r="N31" s="3" t="s">
        <v>416</v>
      </c>
      <c r="O31" s="3" t="s">
        <v>326</v>
      </c>
      <c r="P31" s="3" t="s">
        <v>768</v>
      </c>
      <c r="Q31" s="4">
        <v>2</v>
      </c>
      <c r="R31" s="3" t="s">
        <v>802</v>
      </c>
      <c r="S31" t="s">
        <v>714</v>
      </c>
      <c r="T31" t="s">
        <v>995</v>
      </c>
      <c r="U31" t="s">
        <v>1267</v>
      </c>
      <c r="V31" t="s">
        <v>1103</v>
      </c>
      <c r="W31" s="3" t="s">
        <v>1060</v>
      </c>
      <c r="X31" s="3" t="s">
        <v>717</v>
      </c>
      <c r="Y31" s="3" t="s">
        <v>965</v>
      </c>
      <c r="Z31" s="3" t="s">
        <v>995</v>
      </c>
      <c r="AA31" s="6" t="s">
        <v>1415</v>
      </c>
      <c r="AB31" s="6" t="s">
        <v>1416</v>
      </c>
    </row>
    <row r="32" spans="1:28" x14ac:dyDescent="0.35">
      <c r="A32" t="s">
        <v>297</v>
      </c>
      <c r="B32" s="3" t="s">
        <v>128</v>
      </c>
      <c r="C32" s="3" t="s">
        <v>131</v>
      </c>
      <c r="D32" s="3" t="s">
        <v>132</v>
      </c>
      <c r="E32" s="3" t="s">
        <v>130</v>
      </c>
      <c r="F32" s="3">
        <v>2023</v>
      </c>
      <c r="G32" s="4">
        <v>4</v>
      </c>
      <c r="H32" s="4">
        <v>48</v>
      </c>
      <c r="I32" s="3" t="s">
        <v>244</v>
      </c>
      <c r="J32" s="3" t="s">
        <v>129</v>
      </c>
      <c r="K32" s="3" t="s">
        <v>325</v>
      </c>
      <c r="L32" s="3" t="s">
        <v>344</v>
      </c>
      <c r="M32" s="3" t="s">
        <v>343</v>
      </c>
      <c r="N32" s="3" t="s">
        <v>417</v>
      </c>
      <c r="O32" s="3" t="s">
        <v>552</v>
      </c>
      <c r="P32" s="3" t="s">
        <v>768</v>
      </c>
      <c r="Q32" s="4">
        <v>2</v>
      </c>
      <c r="R32" s="3" t="s">
        <v>472</v>
      </c>
      <c r="S32" t="s">
        <v>715</v>
      </c>
      <c r="T32" t="s">
        <v>1401</v>
      </c>
      <c r="U32" t="s">
        <v>1268</v>
      </c>
      <c r="V32" t="s">
        <v>1296</v>
      </c>
      <c r="W32" s="3" t="s">
        <v>1075</v>
      </c>
      <c r="X32" s="3" t="s">
        <v>676</v>
      </c>
      <c r="Y32" s="3" t="s">
        <v>966</v>
      </c>
      <c r="Z32" s="3" t="s">
        <v>994</v>
      </c>
      <c r="AA32" s="6" t="s">
        <v>1416</v>
      </c>
      <c r="AB32" s="6" t="s">
        <v>1415</v>
      </c>
    </row>
    <row r="33" spans="1:28" x14ac:dyDescent="0.35">
      <c r="A33" t="s">
        <v>298</v>
      </c>
      <c r="B33" s="3" t="s">
        <v>133</v>
      </c>
      <c r="C33" s="3" t="s">
        <v>136</v>
      </c>
      <c r="D33" s="3" t="s">
        <v>137</v>
      </c>
      <c r="E33" s="3" t="s">
        <v>135</v>
      </c>
      <c r="F33" s="3">
        <v>2024</v>
      </c>
      <c r="G33" s="4">
        <v>5</v>
      </c>
      <c r="H33" s="4">
        <v>31</v>
      </c>
      <c r="I33" s="3" t="s">
        <v>244</v>
      </c>
      <c r="J33" s="3" t="s">
        <v>134</v>
      </c>
      <c r="K33" s="3" t="s">
        <v>325</v>
      </c>
      <c r="L33" s="3" t="s">
        <v>345</v>
      </c>
      <c r="M33" s="3" t="s">
        <v>328</v>
      </c>
      <c r="N33" s="3" t="s">
        <v>346</v>
      </c>
      <c r="O33" s="3" t="s">
        <v>555</v>
      </c>
      <c r="P33" s="3" t="s">
        <v>768</v>
      </c>
      <c r="Q33" s="4">
        <v>3</v>
      </c>
      <c r="R33" s="3" t="s">
        <v>622</v>
      </c>
      <c r="S33" t="s">
        <v>716</v>
      </c>
      <c r="T33" t="s">
        <v>1401</v>
      </c>
      <c r="U33" t="s">
        <v>1269</v>
      </c>
      <c r="V33" t="s">
        <v>1297</v>
      </c>
      <c r="W33" s="3" t="s">
        <v>1067</v>
      </c>
      <c r="X33" s="3" t="s">
        <v>717</v>
      </c>
      <c r="Y33" s="3" t="s">
        <v>967</v>
      </c>
      <c r="Z33" s="3" t="s">
        <v>994</v>
      </c>
      <c r="AA33" s="6" t="s">
        <v>1416</v>
      </c>
      <c r="AB33" s="6" t="s">
        <v>1415</v>
      </c>
    </row>
    <row r="34" spans="1:28" x14ac:dyDescent="0.35">
      <c r="A34" t="s">
        <v>299</v>
      </c>
      <c r="B34" s="3" t="s">
        <v>138</v>
      </c>
      <c r="C34" s="3" t="s">
        <v>141</v>
      </c>
      <c r="D34" s="3" t="s">
        <v>142</v>
      </c>
      <c r="E34" s="3" t="s">
        <v>140</v>
      </c>
      <c r="F34" s="3">
        <v>2025</v>
      </c>
      <c r="G34" s="4">
        <v>6</v>
      </c>
      <c r="H34" s="4">
        <v>1</v>
      </c>
      <c r="I34" s="3" t="s">
        <v>244</v>
      </c>
      <c r="J34" s="3" t="s">
        <v>139</v>
      </c>
      <c r="K34" s="3" t="s">
        <v>325</v>
      </c>
      <c r="L34" s="3" t="s">
        <v>348</v>
      </c>
      <c r="M34" s="3" t="s">
        <v>328</v>
      </c>
      <c r="N34" s="3" t="s">
        <v>347</v>
      </c>
      <c r="O34" s="3" t="s">
        <v>486</v>
      </c>
      <c r="P34" s="3" t="s">
        <v>768</v>
      </c>
      <c r="Q34" s="4">
        <v>2</v>
      </c>
      <c r="R34" s="3" t="s">
        <v>472</v>
      </c>
      <c r="S34" t="s">
        <v>718</v>
      </c>
      <c r="T34" t="s">
        <v>1401</v>
      </c>
      <c r="U34" t="s">
        <v>1270</v>
      </c>
      <c r="V34" t="s">
        <v>1296</v>
      </c>
      <c r="W34" s="3" t="s">
        <v>1068</v>
      </c>
      <c r="X34" s="3" t="s">
        <v>717</v>
      </c>
      <c r="Y34" s="3" t="s">
        <v>968</v>
      </c>
      <c r="Z34" s="3" t="s">
        <v>994</v>
      </c>
      <c r="AA34" s="6" t="s">
        <v>1416</v>
      </c>
      <c r="AB34" s="6" t="s">
        <v>1415</v>
      </c>
    </row>
    <row r="35" spans="1:28" x14ac:dyDescent="0.35">
      <c r="A35" t="s">
        <v>300</v>
      </c>
      <c r="B35" s="3" t="s">
        <v>143</v>
      </c>
      <c r="C35" s="3" t="s">
        <v>145</v>
      </c>
      <c r="D35" s="3" t="s">
        <v>146</v>
      </c>
      <c r="E35" s="3" t="s">
        <v>144</v>
      </c>
      <c r="F35" s="3">
        <v>2023</v>
      </c>
      <c r="G35" s="4">
        <v>4</v>
      </c>
      <c r="H35" s="4">
        <v>19</v>
      </c>
      <c r="I35" s="3" t="s">
        <v>244</v>
      </c>
      <c r="J35" s="3" t="s">
        <v>349</v>
      </c>
      <c r="K35" s="3" t="s">
        <v>334</v>
      </c>
      <c r="L35" s="3" t="s">
        <v>350</v>
      </c>
      <c r="M35" s="3" t="s">
        <v>328</v>
      </c>
      <c r="N35" s="3" t="s">
        <v>413</v>
      </c>
      <c r="O35" s="3" t="s">
        <v>561</v>
      </c>
      <c r="P35" s="3" t="s">
        <v>768</v>
      </c>
      <c r="Q35" s="4">
        <v>2</v>
      </c>
      <c r="R35" s="3" t="s">
        <v>472</v>
      </c>
      <c r="S35" t="s">
        <v>719</v>
      </c>
      <c r="T35" t="s">
        <v>1407</v>
      </c>
      <c r="U35" t="s">
        <v>1271</v>
      </c>
      <c r="V35" t="s">
        <v>1296</v>
      </c>
      <c r="W35" s="3" t="s">
        <v>1069</v>
      </c>
      <c r="X35" s="3" t="s">
        <v>717</v>
      </c>
      <c r="Y35" s="3" t="s">
        <v>969</v>
      </c>
      <c r="Z35" s="3" t="s">
        <v>994</v>
      </c>
      <c r="AA35" s="6" t="s">
        <v>1416</v>
      </c>
      <c r="AB35" s="6" t="s">
        <v>1415</v>
      </c>
    </row>
    <row r="36" spans="1:28" x14ac:dyDescent="0.35">
      <c r="A36" t="s">
        <v>301</v>
      </c>
      <c r="B36" s="3" t="s">
        <v>147</v>
      </c>
      <c r="C36" s="3" t="s">
        <v>1107</v>
      </c>
      <c r="D36" s="3" t="s">
        <v>148</v>
      </c>
      <c r="E36" s="3" t="s">
        <v>135</v>
      </c>
      <c r="F36" s="3">
        <v>2024</v>
      </c>
      <c r="G36" s="4">
        <v>5</v>
      </c>
      <c r="H36" s="4">
        <v>28</v>
      </c>
      <c r="I36" s="3" t="s">
        <v>244</v>
      </c>
      <c r="J36" s="3" t="s">
        <v>139</v>
      </c>
      <c r="K36" s="3" t="s">
        <v>325</v>
      </c>
      <c r="L36" s="3" t="s">
        <v>345</v>
      </c>
      <c r="M36" s="3" t="s">
        <v>328</v>
      </c>
      <c r="N36" s="3" t="s">
        <v>418</v>
      </c>
      <c r="O36" s="3" t="s">
        <v>555</v>
      </c>
      <c r="P36" s="3" t="s">
        <v>768</v>
      </c>
      <c r="Q36" s="4">
        <v>2</v>
      </c>
      <c r="R36" s="3" t="s">
        <v>472</v>
      </c>
      <c r="S36" t="s">
        <v>720</v>
      </c>
      <c r="T36" t="s">
        <v>1405</v>
      </c>
      <c r="U36" t="s">
        <v>1272</v>
      </c>
      <c r="V36" t="s">
        <v>1296</v>
      </c>
      <c r="W36" s="3" t="s">
        <v>1070</v>
      </c>
      <c r="X36" s="3" t="s">
        <v>717</v>
      </c>
      <c r="Y36" s="3" t="s">
        <v>970</v>
      </c>
      <c r="Z36" s="3" t="s">
        <v>995</v>
      </c>
      <c r="AA36" s="6" t="s">
        <v>1416</v>
      </c>
      <c r="AB36" s="6" t="s">
        <v>1415</v>
      </c>
    </row>
    <row r="37" spans="1:28" x14ac:dyDescent="0.35">
      <c r="A37" t="s">
        <v>302</v>
      </c>
      <c r="B37" s="3" t="s">
        <v>149</v>
      </c>
      <c r="C37" s="3" t="s">
        <v>151</v>
      </c>
      <c r="D37" s="3" t="s">
        <v>152</v>
      </c>
      <c r="E37" s="3" t="s">
        <v>150</v>
      </c>
      <c r="F37" s="3">
        <v>2024</v>
      </c>
      <c r="G37" s="4">
        <v>5</v>
      </c>
      <c r="H37" s="4">
        <v>23</v>
      </c>
      <c r="I37" s="3" t="s">
        <v>244</v>
      </c>
      <c r="J37" s="3" t="s">
        <v>117</v>
      </c>
      <c r="K37" s="3" t="s">
        <v>325</v>
      </c>
      <c r="L37" s="3" t="s">
        <v>351</v>
      </c>
      <c r="M37" s="3" t="s">
        <v>328</v>
      </c>
      <c r="N37" s="3" t="s">
        <v>419</v>
      </c>
      <c r="O37" s="3" t="s">
        <v>326</v>
      </c>
      <c r="P37" s="3" t="s">
        <v>768</v>
      </c>
      <c r="Q37" s="4">
        <v>2</v>
      </c>
      <c r="R37" s="3" t="s">
        <v>472</v>
      </c>
      <c r="S37" t="s">
        <v>721</v>
      </c>
      <c r="T37" t="s">
        <v>1400</v>
      </c>
      <c r="U37" t="s">
        <v>1273</v>
      </c>
      <c r="V37" t="s">
        <v>1103</v>
      </c>
      <c r="W37" s="3" t="s">
        <v>1071</v>
      </c>
      <c r="X37" s="3" t="s">
        <v>717</v>
      </c>
      <c r="Y37" s="3" t="s">
        <v>971</v>
      </c>
      <c r="Z37" s="3" t="s">
        <v>994</v>
      </c>
      <c r="AA37" s="6" t="s">
        <v>1416</v>
      </c>
      <c r="AB37" s="6" t="s">
        <v>1415</v>
      </c>
    </row>
    <row r="38" spans="1:28" x14ac:dyDescent="0.35">
      <c r="A38" t="s">
        <v>303</v>
      </c>
      <c r="B38" s="3" t="s">
        <v>153</v>
      </c>
      <c r="C38" s="3" t="s">
        <v>1105</v>
      </c>
      <c r="D38" s="3" t="s">
        <v>155</v>
      </c>
      <c r="E38" s="3" t="s">
        <v>154</v>
      </c>
      <c r="F38" s="3">
        <v>2025</v>
      </c>
      <c r="G38" s="4">
        <v>4</v>
      </c>
      <c r="H38" s="4">
        <v>4</v>
      </c>
      <c r="I38" s="3" t="s">
        <v>244</v>
      </c>
      <c r="J38" s="3" t="s">
        <v>139</v>
      </c>
      <c r="K38" s="3" t="s">
        <v>325</v>
      </c>
      <c r="L38" s="3" t="s">
        <v>352</v>
      </c>
      <c r="M38" s="3" t="s">
        <v>328</v>
      </c>
      <c r="N38" s="3" t="s">
        <v>420</v>
      </c>
      <c r="O38" s="3" t="s">
        <v>503</v>
      </c>
      <c r="P38" s="3" t="s">
        <v>768</v>
      </c>
      <c r="Q38" s="4">
        <v>3</v>
      </c>
      <c r="R38" s="3" t="s">
        <v>617</v>
      </c>
      <c r="S38" t="s">
        <v>722</v>
      </c>
      <c r="T38" t="s">
        <v>1407</v>
      </c>
      <c r="U38" t="s">
        <v>1274</v>
      </c>
      <c r="V38" t="s">
        <v>1297</v>
      </c>
      <c r="W38" s="3" t="s">
        <v>1072</v>
      </c>
      <c r="X38" s="3" t="s">
        <v>676</v>
      </c>
      <c r="Y38" s="3" t="s">
        <v>972</v>
      </c>
      <c r="Z38" s="3" t="s">
        <v>994</v>
      </c>
      <c r="AA38" s="6" t="s">
        <v>1416</v>
      </c>
      <c r="AB38" s="6" t="s">
        <v>1415</v>
      </c>
    </row>
    <row r="39" spans="1:28" x14ac:dyDescent="0.35">
      <c r="A39" t="s">
        <v>304</v>
      </c>
      <c r="B39" s="3" t="s">
        <v>156</v>
      </c>
      <c r="C39" s="3" t="s">
        <v>159</v>
      </c>
      <c r="D39" s="3" t="s">
        <v>160</v>
      </c>
      <c r="E39" s="3" t="s">
        <v>158</v>
      </c>
      <c r="F39" s="3">
        <v>2026</v>
      </c>
      <c r="G39" s="4">
        <v>2</v>
      </c>
      <c r="H39" s="4">
        <v>1</v>
      </c>
      <c r="I39" s="3" t="s">
        <v>244</v>
      </c>
      <c r="J39" s="3" t="s">
        <v>157</v>
      </c>
      <c r="K39" s="3" t="s">
        <v>325</v>
      </c>
      <c r="L39" s="3" t="s">
        <v>353</v>
      </c>
      <c r="M39" s="3" t="s">
        <v>354</v>
      </c>
      <c r="N39" s="3" t="s">
        <v>421</v>
      </c>
      <c r="O39" s="3" t="s">
        <v>503</v>
      </c>
      <c r="P39" s="3" t="s">
        <v>768</v>
      </c>
      <c r="Q39" s="4">
        <v>3</v>
      </c>
      <c r="R39" s="3" t="s">
        <v>617</v>
      </c>
      <c r="S39" t="s">
        <v>723</v>
      </c>
      <c r="T39" t="s">
        <v>1405</v>
      </c>
      <c r="U39" t="s">
        <v>1275</v>
      </c>
      <c r="V39" t="s">
        <v>1296</v>
      </c>
      <c r="W39" s="3" t="s">
        <v>1073</v>
      </c>
      <c r="X39" s="3" t="s">
        <v>717</v>
      </c>
      <c r="Y39" s="3" t="s">
        <v>973</v>
      </c>
      <c r="Z39" s="3" t="s">
        <v>717</v>
      </c>
      <c r="AA39" s="6" t="s">
        <v>1416</v>
      </c>
      <c r="AB39" s="6" t="s">
        <v>1415</v>
      </c>
    </row>
    <row r="40" spans="1:28" x14ac:dyDescent="0.35">
      <c r="A40" t="s">
        <v>305</v>
      </c>
      <c r="B40" s="3" t="s">
        <v>161</v>
      </c>
      <c r="C40" s="3" t="s">
        <v>164</v>
      </c>
      <c r="D40" s="3" t="s">
        <v>165</v>
      </c>
      <c r="E40" s="3" t="s">
        <v>163</v>
      </c>
      <c r="F40" s="3">
        <v>2025</v>
      </c>
      <c r="G40" s="4">
        <v>8</v>
      </c>
      <c r="H40" s="4">
        <v>51</v>
      </c>
      <c r="I40" s="3" t="s">
        <v>244</v>
      </c>
      <c r="J40" s="3" t="s">
        <v>162</v>
      </c>
      <c r="K40" s="3" t="s">
        <v>325</v>
      </c>
      <c r="L40" s="3" t="s">
        <v>355</v>
      </c>
      <c r="M40" s="3" t="s">
        <v>343</v>
      </c>
      <c r="N40" s="3" t="s">
        <v>422</v>
      </c>
      <c r="O40" s="3" t="s">
        <v>571</v>
      </c>
      <c r="P40" s="3" t="s">
        <v>768</v>
      </c>
      <c r="Q40" s="4">
        <v>4</v>
      </c>
      <c r="R40" s="3" t="s">
        <v>805</v>
      </c>
      <c r="S40" t="s">
        <v>724</v>
      </c>
      <c r="T40" t="s">
        <v>1401</v>
      </c>
      <c r="U40" t="s">
        <v>1276</v>
      </c>
      <c r="V40" t="s">
        <v>1296</v>
      </c>
      <c r="W40" s="3" t="s">
        <v>1074</v>
      </c>
      <c r="X40" s="3" t="s">
        <v>717</v>
      </c>
      <c r="Y40" s="3" t="s">
        <v>974</v>
      </c>
      <c r="Z40" s="3" t="s">
        <v>994</v>
      </c>
      <c r="AA40" s="6" t="s">
        <v>1416</v>
      </c>
      <c r="AB40" s="6" t="s">
        <v>1415</v>
      </c>
    </row>
    <row r="41" spans="1:28" x14ac:dyDescent="0.35">
      <c r="A41" t="s">
        <v>306</v>
      </c>
      <c r="B41" s="3" t="s">
        <v>166</v>
      </c>
      <c r="C41" s="3" t="s">
        <v>169</v>
      </c>
      <c r="D41" s="3" t="s">
        <v>170</v>
      </c>
      <c r="E41" s="3" t="s">
        <v>168</v>
      </c>
      <c r="F41" s="3">
        <v>2026</v>
      </c>
      <c r="G41" s="4">
        <v>26</v>
      </c>
      <c r="H41" s="4">
        <v>34</v>
      </c>
      <c r="I41" s="3" t="s">
        <v>244</v>
      </c>
      <c r="J41" s="3" t="s">
        <v>167</v>
      </c>
      <c r="K41" s="3" t="s">
        <v>167</v>
      </c>
      <c r="L41" s="3" t="s">
        <v>359</v>
      </c>
      <c r="M41" s="3" t="s">
        <v>328</v>
      </c>
      <c r="N41" s="3" t="s">
        <v>438</v>
      </c>
      <c r="O41" s="3" t="s">
        <v>589</v>
      </c>
      <c r="P41" s="3" t="s">
        <v>769</v>
      </c>
      <c r="Q41" s="4">
        <v>4</v>
      </c>
      <c r="R41" s="3" t="s">
        <v>624</v>
      </c>
      <c r="S41" t="s">
        <v>725</v>
      </c>
      <c r="T41" t="s">
        <v>1402</v>
      </c>
      <c r="U41" t="s">
        <v>1277</v>
      </c>
      <c r="V41" t="s">
        <v>1299</v>
      </c>
      <c r="W41" s="3" t="s">
        <v>1076</v>
      </c>
      <c r="X41" s="3" t="s">
        <v>673</v>
      </c>
      <c r="Y41" s="3" t="s">
        <v>975</v>
      </c>
      <c r="Z41" s="3" t="s">
        <v>685</v>
      </c>
      <c r="AA41" s="6" t="s">
        <v>1416</v>
      </c>
      <c r="AB41" s="6" t="s">
        <v>1415</v>
      </c>
    </row>
    <row r="42" spans="1:28" x14ac:dyDescent="0.35">
      <c r="A42" t="s">
        <v>307</v>
      </c>
      <c r="B42" s="3" t="s">
        <v>171</v>
      </c>
      <c r="C42" s="3" t="s">
        <v>174</v>
      </c>
      <c r="D42" s="3" t="s">
        <v>175</v>
      </c>
      <c r="E42" s="3" t="s">
        <v>173</v>
      </c>
      <c r="F42" s="3">
        <v>2025</v>
      </c>
      <c r="G42" s="4">
        <v>5</v>
      </c>
      <c r="H42" s="4">
        <v>10</v>
      </c>
      <c r="I42" s="3" t="s">
        <v>244</v>
      </c>
      <c r="J42" s="3" t="s">
        <v>172</v>
      </c>
      <c r="K42" s="3" t="s">
        <v>356</v>
      </c>
      <c r="L42" s="3" t="s">
        <v>357</v>
      </c>
      <c r="M42" s="3" t="s">
        <v>343</v>
      </c>
      <c r="N42" s="3" t="s">
        <v>423</v>
      </c>
      <c r="O42" s="3" t="s">
        <v>576</v>
      </c>
      <c r="P42" s="3" t="s">
        <v>769</v>
      </c>
      <c r="Q42" s="4">
        <v>3</v>
      </c>
      <c r="R42" s="3" t="s">
        <v>617</v>
      </c>
      <c r="S42" t="s">
        <v>726</v>
      </c>
      <c r="T42" t="s">
        <v>1402</v>
      </c>
      <c r="U42" t="s">
        <v>1278</v>
      </c>
      <c r="V42" t="s">
        <v>1299</v>
      </c>
      <c r="W42" s="3" t="s">
        <v>1082</v>
      </c>
      <c r="X42" s="3" t="s">
        <v>673</v>
      </c>
      <c r="Y42" s="3" t="s">
        <v>976</v>
      </c>
      <c r="Z42" s="3" t="s">
        <v>717</v>
      </c>
      <c r="AA42" s="6" t="s">
        <v>1415</v>
      </c>
      <c r="AB42" s="6" t="s">
        <v>1416</v>
      </c>
    </row>
    <row r="43" spans="1:28" x14ac:dyDescent="0.35">
      <c r="A43" t="s">
        <v>308</v>
      </c>
      <c r="B43" s="3" t="s">
        <v>611</v>
      </c>
      <c r="C43" s="3" t="s">
        <v>178</v>
      </c>
      <c r="D43" s="3" t="s">
        <v>179</v>
      </c>
      <c r="E43" s="3" t="s">
        <v>177</v>
      </c>
      <c r="F43" s="3">
        <v>2026</v>
      </c>
      <c r="G43" s="4">
        <v>8</v>
      </c>
      <c r="H43" s="4">
        <v>0</v>
      </c>
      <c r="I43" s="3" t="s">
        <v>244</v>
      </c>
      <c r="J43" s="3" t="s">
        <v>176</v>
      </c>
      <c r="K43" s="3" t="s">
        <v>264</v>
      </c>
      <c r="L43" s="3" t="s">
        <v>358</v>
      </c>
      <c r="M43" s="3" t="s">
        <v>328</v>
      </c>
      <c r="N43" s="3" t="s">
        <v>424</v>
      </c>
      <c r="O43" s="3" t="s">
        <v>630</v>
      </c>
      <c r="P43" s="3" t="s">
        <v>769</v>
      </c>
      <c r="Q43" s="4">
        <v>2</v>
      </c>
      <c r="R43" s="3" t="s">
        <v>472</v>
      </c>
      <c r="S43" t="s">
        <v>727</v>
      </c>
      <c r="T43" t="s">
        <v>1405</v>
      </c>
      <c r="U43" t="s">
        <v>1279</v>
      </c>
      <c r="V43" t="s">
        <v>1103</v>
      </c>
      <c r="W43" s="3" t="s">
        <v>1077</v>
      </c>
      <c r="X43" s="3" t="s">
        <v>717</v>
      </c>
      <c r="Y43" s="3" t="s">
        <v>977</v>
      </c>
      <c r="Z43" s="3" t="s">
        <v>996</v>
      </c>
      <c r="AA43" s="6" t="s">
        <v>1415</v>
      </c>
      <c r="AB43" s="6" t="s">
        <v>1416</v>
      </c>
    </row>
    <row r="44" spans="1:28" x14ac:dyDescent="0.35">
      <c r="A44" t="s">
        <v>309</v>
      </c>
      <c r="B44" s="3" t="s">
        <v>180</v>
      </c>
      <c r="C44" s="3" t="s">
        <v>182</v>
      </c>
      <c r="D44" s="3" t="s">
        <v>183</v>
      </c>
      <c r="E44" s="3" t="s">
        <v>181</v>
      </c>
      <c r="F44" s="3">
        <v>2026</v>
      </c>
      <c r="G44" s="4">
        <v>10</v>
      </c>
      <c r="H44" s="4">
        <v>26</v>
      </c>
      <c r="I44" s="3" t="s">
        <v>643</v>
      </c>
      <c r="J44" s="3" t="s">
        <v>361</v>
      </c>
      <c r="K44" s="3" t="s">
        <v>253</v>
      </c>
      <c r="L44" s="3" t="s">
        <v>360</v>
      </c>
      <c r="M44" s="3" t="s">
        <v>328</v>
      </c>
      <c r="N44" s="3" t="s">
        <v>425</v>
      </c>
      <c r="O44" s="3" t="s">
        <v>492</v>
      </c>
      <c r="P44" s="3" t="s">
        <v>769</v>
      </c>
      <c r="Q44" s="4">
        <v>2</v>
      </c>
      <c r="R44" s="3" t="s">
        <v>472</v>
      </c>
      <c r="S44" t="s">
        <v>728</v>
      </c>
      <c r="T44" t="s">
        <v>1404</v>
      </c>
      <c r="U44" t="s">
        <v>1280</v>
      </c>
      <c r="V44" t="s">
        <v>1299</v>
      </c>
      <c r="W44" s="3" t="s">
        <v>1083</v>
      </c>
      <c r="X44" s="3" t="s">
        <v>673</v>
      </c>
      <c r="Y44" s="3" t="s">
        <v>978</v>
      </c>
      <c r="Z44" s="3" t="s">
        <v>717</v>
      </c>
      <c r="AA44" s="6" t="s">
        <v>1415</v>
      </c>
      <c r="AB44" s="6" t="s">
        <v>1416</v>
      </c>
    </row>
    <row r="45" spans="1:28" x14ac:dyDescent="0.35">
      <c r="A45" t="s">
        <v>310</v>
      </c>
      <c r="B45" s="3" t="s">
        <v>184</v>
      </c>
      <c r="C45" s="3" t="s">
        <v>188</v>
      </c>
      <c r="D45" s="3" t="s">
        <v>189</v>
      </c>
      <c r="E45" s="3" t="s">
        <v>186</v>
      </c>
      <c r="F45" s="3">
        <v>2025</v>
      </c>
      <c r="G45" s="4">
        <v>7</v>
      </c>
      <c r="H45" s="4">
        <v>0</v>
      </c>
      <c r="I45" s="3" t="s">
        <v>244</v>
      </c>
      <c r="J45" s="3" t="s">
        <v>185</v>
      </c>
      <c r="K45" s="3" t="s">
        <v>187</v>
      </c>
      <c r="L45" s="3" t="s">
        <v>362</v>
      </c>
      <c r="M45" s="3" t="s">
        <v>339</v>
      </c>
      <c r="N45" s="3" t="s">
        <v>426</v>
      </c>
      <c r="O45" s="3" t="s">
        <v>514</v>
      </c>
      <c r="P45" s="3" t="s">
        <v>769</v>
      </c>
      <c r="Q45" s="4">
        <v>2</v>
      </c>
      <c r="R45" s="3" t="s">
        <v>472</v>
      </c>
      <c r="S45" t="s">
        <v>729</v>
      </c>
      <c r="T45" t="s">
        <v>1406</v>
      </c>
      <c r="U45" t="s">
        <v>1281</v>
      </c>
      <c r="V45" t="s">
        <v>1296</v>
      </c>
      <c r="W45" s="3" t="s">
        <v>1078</v>
      </c>
      <c r="X45" s="3" t="s">
        <v>717</v>
      </c>
      <c r="Y45" s="3" t="s">
        <v>979</v>
      </c>
      <c r="Z45" s="3" t="s">
        <v>997</v>
      </c>
      <c r="AA45" s="6" t="s">
        <v>1415</v>
      </c>
      <c r="AB45" s="6" t="s">
        <v>1416</v>
      </c>
    </row>
    <row r="46" spans="1:28" x14ac:dyDescent="0.35">
      <c r="A46" t="s">
        <v>311</v>
      </c>
      <c r="B46" s="3" t="s">
        <v>190</v>
      </c>
      <c r="C46" s="3" t="s">
        <v>193</v>
      </c>
      <c r="D46" s="3" t="s">
        <v>194</v>
      </c>
      <c r="E46" s="3" t="s">
        <v>192</v>
      </c>
      <c r="F46" s="3">
        <v>2025</v>
      </c>
      <c r="G46" s="4">
        <v>6</v>
      </c>
      <c r="H46" s="4">
        <v>1</v>
      </c>
      <c r="I46" s="3" t="s">
        <v>244</v>
      </c>
      <c r="J46" s="3" t="s">
        <v>191</v>
      </c>
      <c r="K46" s="3" t="s">
        <v>325</v>
      </c>
      <c r="L46" s="3" t="s">
        <v>363</v>
      </c>
      <c r="M46" s="3" t="s">
        <v>328</v>
      </c>
      <c r="N46" s="3" t="s">
        <v>427</v>
      </c>
      <c r="O46" s="3" t="s">
        <v>481</v>
      </c>
      <c r="P46" s="3" t="s">
        <v>769</v>
      </c>
      <c r="Q46" s="4">
        <v>2</v>
      </c>
      <c r="R46" s="3" t="s">
        <v>806</v>
      </c>
      <c r="S46" t="s">
        <v>730</v>
      </c>
      <c r="T46" t="s">
        <v>1401</v>
      </c>
      <c r="U46" t="s">
        <v>1282</v>
      </c>
      <c r="V46" t="s">
        <v>1297</v>
      </c>
      <c r="W46" s="3" t="s">
        <v>1084</v>
      </c>
      <c r="X46" s="3" t="s">
        <v>673</v>
      </c>
      <c r="Y46" s="3" t="s">
        <v>980</v>
      </c>
      <c r="Z46" s="3" t="s">
        <v>994</v>
      </c>
      <c r="AA46" s="6" t="s">
        <v>1415</v>
      </c>
      <c r="AB46" s="6" t="s">
        <v>1416</v>
      </c>
    </row>
    <row r="47" spans="1:28" x14ac:dyDescent="0.35">
      <c r="A47" t="s">
        <v>312</v>
      </c>
      <c r="B47" s="3" t="s">
        <v>195</v>
      </c>
      <c r="C47" s="3" t="s">
        <v>197</v>
      </c>
      <c r="D47" s="3" t="s">
        <v>198</v>
      </c>
      <c r="E47" s="3" t="s">
        <v>196</v>
      </c>
      <c r="F47" s="3">
        <v>2025</v>
      </c>
      <c r="G47" s="4">
        <v>9</v>
      </c>
      <c r="H47" s="4">
        <v>4</v>
      </c>
      <c r="I47" s="3" t="s">
        <v>643</v>
      </c>
      <c r="J47" s="3" t="s">
        <v>365</v>
      </c>
      <c r="K47" s="3" t="s">
        <v>264</v>
      </c>
      <c r="L47" s="3" t="s">
        <v>364</v>
      </c>
      <c r="M47" s="3" t="s">
        <v>328</v>
      </c>
      <c r="N47" s="3" t="s">
        <v>428</v>
      </c>
      <c r="O47" s="3" t="s">
        <v>481</v>
      </c>
      <c r="P47" s="3" t="s">
        <v>769</v>
      </c>
      <c r="Q47" s="4">
        <v>2</v>
      </c>
      <c r="R47" s="3" t="s">
        <v>472</v>
      </c>
      <c r="S47" t="s">
        <v>731</v>
      </c>
      <c r="T47" t="s">
        <v>1400</v>
      </c>
      <c r="U47" t="s">
        <v>1283</v>
      </c>
      <c r="V47" t="s">
        <v>1296</v>
      </c>
      <c r="W47" s="3" t="s">
        <v>1079</v>
      </c>
      <c r="X47" s="3" t="s">
        <v>674</v>
      </c>
      <c r="Y47" s="3" t="s">
        <v>981</v>
      </c>
      <c r="Z47" s="3" t="s">
        <v>996</v>
      </c>
      <c r="AA47" s="6" t="s">
        <v>1415</v>
      </c>
      <c r="AB47" s="6" t="s">
        <v>1416</v>
      </c>
    </row>
    <row r="48" spans="1:28" x14ac:dyDescent="0.35">
      <c r="A48" t="s">
        <v>313</v>
      </c>
      <c r="B48" s="3" t="s">
        <v>199</v>
      </c>
      <c r="C48" s="3" t="s">
        <v>201</v>
      </c>
      <c r="D48" s="3" t="s">
        <v>202</v>
      </c>
      <c r="E48" s="3" t="s">
        <v>200</v>
      </c>
      <c r="F48" s="3">
        <v>2025</v>
      </c>
      <c r="G48" s="4">
        <v>10</v>
      </c>
      <c r="H48" s="4">
        <v>243</v>
      </c>
      <c r="I48" s="3" t="s">
        <v>643</v>
      </c>
      <c r="J48" s="3" t="s">
        <v>365</v>
      </c>
      <c r="K48" s="3" t="s">
        <v>264</v>
      </c>
      <c r="L48" s="3" t="s">
        <v>366</v>
      </c>
      <c r="M48" s="3" t="s">
        <v>328</v>
      </c>
      <c r="N48" s="3" t="s">
        <v>429</v>
      </c>
      <c r="O48" s="3" t="s">
        <v>589</v>
      </c>
      <c r="P48" s="3" t="s">
        <v>769</v>
      </c>
      <c r="Q48" s="4">
        <v>2</v>
      </c>
      <c r="R48" s="3" t="s">
        <v>472</v>
      </c>
      <c r="S48" t="s">
        <v>732</v>
      </c>
      <c r="T48" t="s">
        <v>1402</v>
      </c>
      <c r="U48" t="s">
        <v>1284</v>
      </c>
      <c r="V48" t="s">
        <v>1299</v>
      </c>
      <c r="W48" s="3" t="s">
        <v>1085</v>
      </c>
      <c r="X48" s="3" t="s">
        <v>673</v>
      </c>
      <c r="Y48" s="3" t="s">
        <v>982</v>
      </c>
      <c r="Z48" s="3" t="s">
        <v>685</v>
      </c>
      <c r="AA48" s="6" t="s">
        <v>1415</v>
      </c>
      <c r="AB48" s="6" t="s">
        <v>1416</v>
      </c>
    </row>
    <row r="49" spans="1:28" x14ac:dyDescent="0.35">
      <c r="A49" t="s">
        <v>314</v>
      </c>
      <c r="B49" s="3" t="s">
        <v>203</v>
      </c>
      <c r="C49" s="3" t="s">
        <v>206</v>
      </c>
      <c r="D49" s="3" t="s">
        <v>207</v>
      </c>
      <c r="E49" s="3" t="s">
        <v>205</v>
      </c>
      <c r="F49" s="3">
        <v>2025</v>
      </c>
      <c r="G49" s="4">
        <v>7</v>
      </c>
      <c r="H49" s="4">
        <v>34</v>
      </c>
      <c r="I49" s="3" t="s">
        <v>244</v>
      </c>
      <c r="J49" s="3" t="s">
        <v>204</v>
      </c>
      <c r="K49" s="3" t="s">
        <v>264</v>
      </c>
      <c r="L49" s="3" t="s">
        <v>367</v>
      </c>
      <c r="M49" s="3" t="s">
        <v>328</v>
      </c>
      <c r="N49" s="3" t="s">
        <v>430</v>
      </c>
      <c r="O49" s="3" t="s">
        <v>576</v>
      </c>
      <c r="P49" s="3" t="s">
        <v>769</v>
      </c>
      <c r="Q49" s="4">
        <v>2</v>
      </c>
      <c r="R49" s="3" t="s">
        <v>472</v>
      </c>
      <c r="S49" t="s">
        <v>733</v>
      </c>
      <c r="T49" t="s">
        <v>1405</v>
      </c>
      <c r="U49" t="s">
        <v>1285</v>
      </c>
      <c r="V49" t="s">
        <v>1297</v>
      </c>
      <c r="W49" s="3" t="s">
        <v>1080</v>
      </c>
      <c r="X49" s="3" t="s">
        <v>674</v>
      </c>
      <c r="Y49" s="3" t="s">
        <v>983</v>
      </c>
      <c r="Z49" s="3" t="s">
        <v>996</v>
      </c>
      <c r="AA49" s="6" t="s">
        <v>1415</v>
      </c>
      <c r="AB49" s="6" t="s">
        <v>1416</v>
      </c>
    </row>
    <row r="50" spans="1:28" x14ac:dyDescent="0.35">
      <c r="A50" t="s">
        <v>315</v>
      </c>
      <c r="B50" s="3" t="s">
        <v>208</v>
      </c>
      <c r="C50" s="3" t="s">
        <v>211</v>
      </c>
      <c r="D50" s="3" t="s">
        <v>212</v>
      </c>
      <c r="E50" s="3" t="s">
        <v>210</v>
      </c>
      <c r="F50" s="3">
        <v>2025</v>
      </c>
      <c r="G50" s="4">
        <v>8</v>
      </c>
      <c r="H50" s="4">
        <v>220</v>
      </c>
      <c r="I50" s="3" t="s">
        <v>244</v>
      </c>
      <c r="J50" s="3" t="s">
        <v>209</v>
      </c>
      <c r="K50" s="3" t="s">
        <v>264</v>
      </c>
      <c r="L50" s="3" t="s">
        <v>368</v>
      </c>
      <c r="M50" s="3" t="s">
        <v>328</v>
      </c>
      <c r="N50" s="3" t="s">
        <v>431</v>
      </c>
      <c r="O50" s="3" t="s">
        <v>576</v>
      </c>
      <c r="P50" s="3" t="s">
        <v>769</v>
      </c>
      <c r="Q50" s="4">
        <v>4</v>
      </c>
      <c r="R50" s="3" t="s">
        <v>625</v>
      </c>
      <c r="S50" t="s">
        <v>734</v>
      </c>
      <c r="T50" t="s">
        <v>1404</v>
      </c>
      <c r="U50" t="s">
        <v>1286</v>
      </c>
      <c r="V50" t="s">
        <v>1296</v>
      </c>
      <c r="W50" s="3" t="s">
        <v>1081</v>
      </c>
      <c r="X50" s="3" t="s">
        <v>717</v>
      </c>
      <c r="Y50" s="3" t="s">
        <v>984</v>
      </c>
      <c r="Z50" s="3" t="s">
        <v>996</v>
      </c>
      <c r="AA50" s="6" t="s">
        <v>1415</v>
      </c>
      <c r="AB50" s="6" t="s">
        <v>1416</v>
      </c>
    </row>
    <row r="51" spans="1:28" x14ac:dyDescent="0.35">
      <c r="A51" t="s">
        <v>316</v>
      </c>
      <c r="B51" s="3" t="s">
        <v>213</v>
      </c>
      <c r="C51" s="3" t="s">
        <v>215</v>
      </c>
      <c r="D51" s="3" t="s">
        <v>216</v>
      </c>
      <c r="E51" s="3" t="s">
        <v>214</v>
      </c>
      <c r="F51" s="3">
        <v>2025</v>
      </c>
      <c r="G51" s="4">
        <v>8</v>
      </c>
      <c r="H51" s="4">
        <v>85</v>
      </c>
      <c r="I51" s="3" t="s">
        <v>643</v>
      </c>
      <c r="J51" s="3" t="s">
        <v>365</v>
      </c>
      <c r="K51" s="3" t="s">
        <v>264</v>
      </c>
      <c r="L51" s="3" t="s">
        <v>369</v>
      </c>
      <c r="M51" s="3" t="s">
        <v>328</v>
      </c>
      <c r="N51" s="3" t="s">
        <v>432</v>
      </c>
      <c r="O51" s="3" t="s">
        <v>596</v>
      </c>
      <c r="P51" s="3" t="s">
        <v>769</v>
      </c>
      <c r="Q51" s="4">
        <v>3</v>
      </c>
      <c r="R51" s="3" t="s">
        <v>807</v>
      </c>
      <c r="S51" t="s">
        <v>736</v>
      </c>
      <c r="T51" t="s">
        <v>995</v>
      </c>
      <c r="U51" t="s">
        <v>1287</v>
      </c>
      <c r="V51" t="s">
        <v>1297</v>
      </c>
      <c r="W51" s="3" t="s">
        <v>1086</v>
      </c>
      <c r="X51" s="3" t="s">
        <v>675</v>
      </c>
      <c r="Y51" s="3" t="s">
        <v>985</v>
      </c>
      <c r="Z51" s="3" t="s">
        <v>996</v>
      </c>
      <c r="AA51" s="6" t="s">
        <v>1415</v>
      </c>
      <c r="AB51" s="6" t="s">
        <v>1416</v>
      </c>
    </row>
    <row r="52" spans="1:28" x14ac:dyDescent="0.35">
      <c r="A52" t="s">
        <v>317</v>
      </c>
      <c r="B52" s="3" t="s">
        <v>217</v>
      </c>
      <c r="C52" s="3" t="s">
        <v>219</v>
      </c>
      <c r="D52" s="3" t="s">
        <v>220</v>
      </c>
      <c r="E52" s="3" t="s">
        <v>218</v>
      </c>
      <c r="F52" s="3">
        <v>2024</v>
      </c>
      <c r="G52" s="4">
        <v>16</v>
      </c>
      <c r="H52" s="4">
        <v>323</v>
      </c>
      <c r="I52" s="3" t="s">
        <v>643</v>
      </c>
      <c r="J52" s="3" t="s">
        <v>370</v>
      </c>
      <c r="K52" s="3" t="s">
        <v>371</v>
      </c>
      <c r="L52" s="3" t="s">
        <v>372</v>
      </c>
      <c r="M52" s="3" t="s">
        <v>328</v>
      </c>
      <c r="N52" s="3" t="s">
        <v>433</v>
      </c>
      <c r="O52" s="3" t="s">
        <v>599</v>
      </c>
      <c r="P52" s="3" t="s">
        <v>769</v>
      </c>
      <c r="Q52" s="4">
        <v>3</v>
      </c>
      <c r="R52" s="3" t="s">
        <v>620</v>
      </c>
      <c r="S52" t="s">
        <v>737</v>
      </c>
      <c r="T52" t="s">
        <v>1402</v>
      </c>
      <c r="U52" t="s">
        <v>1288</v>
      </c>
      <c r="V52" t="s">
        <v>1297</v>
      </c>
      <c r="W52" s="3" t="s">
        <v>1091</v>
      </c>
      <c r="X52" s="3" t="s">
        <v>673</v>
      </c>
      <c r="Y52" s="3" t="s">
        <v>986</v>
      </c>
      <c r="Z52" s="3" t="s">
        <v>685</v>
      </c>
      <c r="AA52" s="6" t="s">
        <v>1415</v>
      </c>
      <c r="AB52" s="6" t="s">
        <v>1416</v>
      </c>
    </row>
    <row r="53" spans="1:28" x14ac:dyDescent="0.35">
      <c r="A53" t="s">
        <v>318</v>
      </c>
      <c r="B53" s="3" t="s">
        <v>221</v>
      </c>
      <c r="C53" s="3" t="s">
        <v>223</v>
      </c>
      <c r="D53" s="3" t="s">
        <v>224</v>
      </c>
      <c r="E53" s="3" t="s">
        <v>222</v>
      </c>
      <c r="F53" s="3">
        <v>2024</v>
      </c>
      <c r="G53" s="4">
        <v>6</v>
      </c>
      <c r="H53" s="4">
        <v>44</v>
      </c>
      <c r="I53" s="3" t="s">
        <v>643</v>
      </c>
      <c r="J53" s="3" t="s">
        <v>373</v>
      </c>
      <c r="K53" s="3" t="s">
        <v>264</v>
      </c>
      <c r="L53" s="3" t="s">
        <v>374</v>
      </c>
      <c r="M53" s="3" t="s">
        <v>375</v>
      </c>
      <c r="N53" s="3" t="s">
        <v>434</v>
      </c>
      <c r="O53" s="3" t="s">
        <v>630</v>
      </c>
      <c r="P53" s="3" t="s">
        <v>769</v>
      </c>
      <c r="Q53" s="4">
        <v>3</v>
      </c>
      <c r="R53" s="3" t="s">
        <v>617</v>
      </c>
      <c r="S53" t="s">
        <v>738</v>
      </c>
      <c r="T53" t="s">
        <v>1405</v>
      </c>
      <c r="U53" t="s">
        <v>1289</v>
      </c>
      <c r="V53" t="s">
        <v>1297</v>
      </c>
      <c r="W53" s="3" t="s">
        <v>1092</v>
      </c>
      <c r="X53" s="3" t="s">
        <v>675</v>
      </c>
      <c r="Y53" s="3" t="s">
        <v>987</v>
      </c>
      <c r="Z53" s="3" t="s">
        <v>685</v>
      </c>
      <c r="AA53" s="6" t="s">
        <v>1415</v>
      </c>
      <c r="AB53" s="6" t="s">
        <v>1416</v>
      </c>
    </row>
    <row r="54" spans="1:28" x14ac:dyDescent="0.35">
      <c r="A54" t="s">
        <v>319</v>
      </c>
      <c r="B54" s="3" t="s">
        <v>225</v>
      </c>
      <c r="C54" s="3" t="s">
        <v>1106</v>
      </c>
      <c r="D54" s="3" t="s">
        <v>227</v>
      </c>
      <c r="E54" s="3" t="s">
        <v>226</v>
      </c>
      <c r="F54" s="3">
        <v>2022</v>
      </c>
      <c r="G54" s="4">
        <v>8</v>
      </c>
      <c r="H54" s="4">
        <v>66</v>
      </c>
      <c r="I54" s="3" t="s">
        <v>643</v>
      </c>
      <c r="J54" s="3" t="s">
        <v>376</v>
      </c>
      <c r="K54" s="3" t="s">
        <v>239</v>
      </c>
      <c r="L54" s="3" t="s">
        <v>377</v>
      </c>
      <c r="M54" s="3" t="s">
        <v>328</v>
      </c>
      <c r="N54" s="3" t="s">
        <v>435</v>
      </c>
      <c r="O54" s="3" t="s">
        <v>508</v>
      </c>
      <c r="P54" s="3" t="s">
        <v>769</v>
      </c>
      <c r="Q54" s="4">
        <v>2</v>
      </c>
      <c r="R54" s="3" t="s">
        <v>618</v>
      </c>
      <c r="S54" t="s">
        <v>739</v>
      </c>
      <c r="T54" t="s">
        <v>1401</v>
      </c>
      <c r="U54" t="s">
        <v>1290</v>
      </c>
      <c r="V54" t="s">
        <v>1103</v>
      </c>
      <c r="W54" s="3" t="s">
        <v>1093</v>
      </c>
      <c r="X54" s="3" t="s">
        <v>675</v>
      </c>
      <c r="Y54" s="3" t="s">
        <v>988</v>
      </c>
      <c r="Z54" s="3" t="s">
        <v>994</v>
      </c>
      <c r="AA54" s="6" t="s">
        <v>1415</v>
      </c>
      <c r="AB54" s="6" t="s">
        <v>1416</v>
      </c>
    </row>
    <row r="55" spans="1:28" x14ac:dyDescent="0.35">
      <c r="A55" t="s">
        <v>320</v>
      </c>
      <c r="B55" s="3" t="s">
        <v>228</v>
      </c>
      <c r="C55" s="3" t="s">
        <v>230</v>
      </c>
      <c r="D55" s="3" t="s">
        <v>231</v>
      </c>
      <c r="E55" s="3" t="s">
        <v>229</v>
      </c>
      <c r="F55" s="3">
        <v>2024</v>
      </c>
      <c r="G55" s="4">
        <v>11</v>
      </c>
      <c r="H55" s="4">
        <v>44</v>
      </c>
      <c r="I55" s="3" t="s">
        <v>643</v>
      </c>
      <c r="J55" s="3" t="s">
        <v>378</v>
      </c>
      <c r="K55" s="3" t="s">
        <v>371</v>
      </c>
      <c r="L55" s="3" t="s">
        <v>379</v>
      </c>
      <c r="M55" s="3" t="s">
        <v>328</v>
      </c>
      <c r="N55" s="3" t="s">
        <v>436</v>
      </c>
      <c r="O55" s="3" t="s">
        <v>326</v>
      </c>
      <c r="P55" s="3" t="s">
        <v>769</v>
      </c>
      <c r="Q55" s="4">
        <v>2</v>
      </c>
      <c r="R55" s="3" t="s">
        <v>472</v>
      </c>
      <c r="S55" t="s">
        <v>740</v>
      </c>
      <c r="T55" t="s">
        <v>995</v>
      </c>
      <c r="U55" t="s">
        <v>1291</v>
      </c>
      <c r="V55" t="s">
        <v>1103</v>
      </c>
      <c r="W55" s="3" t="s">
        <v>1094</v>
      </c>
      <c r="X55" s="3" t="s">
        <v>676</v>
      </c>
      <c r="Y55" s="3" t="s">
        <v>989</v>
      </c>
      <c r="Z55" s="3" t="s">
        <v>995</v>
      </c>
      <c r="AA55" s="6" t="s">
        <v>1415</v>
      </c>
      <c r="AB55" s="6" t="s">
        <v>1416</v>
      </c>
    </row>
    <row r="56" spans="1:28" x14ac:dyDescent="0.35">
      <c r="A56" t="s">
        <v>321</v>
      </c>
      <c r="B56" s="3" t="s">
        <v>232</v>
      </c>
      <c r="C56" s="3" t="s">
        <v>234</v>
      </c>
      <c r="D56" s="3" t="s">
        <v>235</v>
      </c>
      <c r="E56" s="3" t="s">
        <v>233</v>
      </c>
      <c r="F56" s="3">
        <v>2024</v>
      </c>
      <c r="G56" s="4">
        <v>9</v>
      </c>
      <c r="H56" s="4">
        <v>330</v>
      </c>
      <c r="I56" s="3" t="s">
        <v>643</v>
      </c>
      <c r="J56" s="3" t="s">
        <v>381</v>
      </c>
      <c r="K56" s="3" t="s">
        <v>380</v>
      </c>
      <c r="L56" s="3" t="s">
        <v>383</v>
      </c>
      <c r="M56" s="3" t="s">
        <v>328</v>
      </c>
      <c r="N56" s="3" t="s">
        <v>1392</v>
      </c>
      <c r="O56" s="3" t="s">
        <v>503</v>
      </c>
      <c r="P56" s="3" t="s">
        <v>769</v>
      </c>
      <c r="Q56" s="4">
        <v>3</v>
      </c>
      <c r="R56" s="3" t="s">
        <v>617</v>
      </c>
      <c r="S56" t="s">
        <v>741</v>
      </c>
      <c r="T56" t="s">
        <v>1405</v>
      </c>
      <c r="U56" t="s">
        <v>1292</v>
      </c>
      <c r="V56" t="s">
        <v>1296</v>
      </c>
      <c r="W56" s="3" t="s">
        <v>1087</v>
      </c>
      <c r="X56" s="3" t="s">
        <v>717</v>
      </c>
      <c r="Y56" s="3" t="s">
        <v>990</v>
      </c>
      <c r="Z56" s="3" t="s">
        <v>996</v>
      </c>
      <c r="AA56" s="6" t="s">
        <v>1415</v>
      </c>
      <c r="AB56" s="6" t="s">
        <v>1416</v>
      </c>
    </row>
    <row r="57" spans="1:28" x14ac:dyDescent="0.35">
      <c r="A57" t="s">
        <v>322</v>
      </c>
      <c r="B57" s="3" t="s">
        <v>236</v>
      </c>
      <c r="C57" s="3" t="s">
        <v>240</v>
      </c>
      <c r="D57" s="3" t="s">
        <v>241</v>
      </c>
      <c r="E57" s="3" t="s">
        <v>238</v>
      </c>
      <c r="F57" s="3">
        <v>2025</v>
      </c>
      <c r="G57" s="4">
        <v>7</v>
      </c>
      <c r="H57" s="4">
        <v>6</v>
      </c>
      <c r="I57" s="3" t="s">
        <v>244</v>
      </c>
      <c r="J57" s="3" t="s">
        <v>237</v>
      </c>
      <c r="K57" s="3" t="s">
        <v>239</v>
      </c>
      <c r="L57" s="3" t="s">
        <v>382</v>
      </c>
      <c r="M57" s="3" t="s">
        <v>339</v>
      </c>
      <c r="N57" s="3" t="s">
        <v>437</v>
      </c>
      <c r="O57" s="3" t="s">
        <v>503</v>
      </c>
      <c r="P57" s="3" t="s">
        <v>770</v>
      </c>
      <c r="Q57" s="4">
        <v>3</v>
      </c>
      <c r="R57" s="3" t="s">
        <v>617</v>
      </c>
      <c r="S57" t="s">
        <v>742</v>
      </c>
      <c r="T57" t="s">
        <v>1405</v>
      </c>
      <c r="U57" t="s">
        <v>1293</v>
      </c>
      <c r="V57" t="s">
        <v>1296</v>
      </c>
      <c r="W57" s="3" t="s">
        <v>1088</v>
      </c>
      <c r="X57" s="3" t="s">
        <v>717</v>
      </c>
      <c r="Y57" s="3" t="s">
        <v>991</v>
      </c>
      <c r="Z57" s="3" t="s">
        <v>995</v>
      </c>
      <c r="AA57" s="6" t="s">
        <v>1415</v>
      </c>
      <c r="AB57" s="6" t="s">
        <v>1416</v>
      </c>
    </row>
    <row r="58" spans="1:28" x14ac:dyDescent="0.35">
      <c r="A58" t="s">
        <v>323</v>
      </c>
      <c r="B58" t="s">
        <v>750</v>
      </c>
      <c r="C58" t="s">
        <v>751</v>
      </c>
      <c r="D58" t="s">
        <v>752</v>
      </c>
      <c r="E58" s="3" t="s">
        <v>753</v>
      </c>
      <c r="F58" s="3">
        <v>2025</v>
      </c>
      <c r="G58" s="4">
        <v>6</v>
      </c>
      <c r="H58" s="4">
        <v>1</v>
      </c>
      <c r="I58" s="3" t="s">
        <v>643</v>
      </c>
      <c r="J58" t="s">
        <v>254</v>
      </c>
      <c r="K58" s="3" t="s">
        <v>253</v>
      </c>
      <c r="L58" t="s">
        <v>749</v>
      </c>
      <c r="M58" s="3" t="s">
        <v>328</v>
      </c>
      <c r="N58" s="3" t="s">
        <v>758</v>
      </c>
      <c r="O58" s="3" t="s">
        <v>762</v>
      </c>
      <c r="P58" s="3" t="s">
        <v>764</v>
      </c>
      <c r="Q58" s="4">
        <v>2</v>
      </c>
      <c r="R58" s="3" t="s">
        <v>472</v>
      </c>
      <c r="S58" t="s">
        <v>743</v>
      </c>
      <c r="T58" t="s">
        <v>1400</v>
      </c>
      <c r="U58" t="s">
        <v>1294</v>
      </c>
      <c r="V58" t="s">
        <v>1296</v>
      </c>
      <c r="W58" s="3" t="s">
        <v>1089</v>
      </c>
      <c r="X58" s="3" t="s">
        <v>717</v>
      </c>
      <c r="Y58" s="3" t="s">
        <v>992</v>
      </c>
      <c r="Z58" s="3" t="s">
        <v>996</v>
      </c>
      <c r="AA58" s="6" t="s">
        <v>1415</v>
      </c>
      <c r="AB58" s="6" t="s">
        <v>1416</v>
      </c>
    </row>
    <row r="59" spans="1:28" x14ac:dyDescent="0.35">
      <c r="A59" t="s">
        <v>763</v>
      </c>
      <c r="B59" t="s">
        <v>1393</v>
      </c>
      <c r="C59" t="s">
        <v>754</v>
      </c>
      <c r="D59" t="s">
        <v>755</v>
      </c>
      <c r="E59" s="3" t="s">
        <v>757</v>
      </c>
      <c r="F59" s="3">
        <v>2025</v>
      </c>
      <c r="G59" s="4">
        <v>6</v>
      </c>
      <c r="H59" s="4">
        <v>3</v>
      </c>
      <c r="I59" s="3" t="s">
        <v>643</v>
      </c>
      <c r="J59" t="s">
        <v>254</v>
      </c>
      <c r="K59" s="3" t="s">
        <v>253</v>
      </c>
      <c r="L59" t="s">
        <v>756</v>
      </c>
      <c r="M59" s="3" t="s">
        <v>328</v>
      </c>
      <c r="N59" s="3" t="s">
        <v>759</v>
      </c>
      <c r="O59" s="3" t="s">
        <v>520</v>
      </c>
      <c r="P59" s="3" t="s">
        <v>764</v>
      </c>
      <c r="Q59" s="4">
        <v>4</v>
      </c>
      <c r="R59" s="3" t="s">
        <v>625</v>
      </c>
      <c r="S59" t="s">
        <v>744</v>
      </c>
      <c r="T59" t="s">
        <v>1406</v>
      </c>
      <c r="U59" t="s">
        <v>1295</v>
      </c>
      <c r="V59" t="s">
        <v>1297</v>
      </c>
      <c r="W59" s="3" t="s">
        <v>1090</v>
      </c>
      <c r="X59" s="3" t="s">
        <v>717</v>
      </c>
      <c r="Y59" s="3" t="s">
        <v>993</v>
      </c>
      <c r="Z59" s="3" t="s">
        <v>997</v>
      </c>
      <c r="AA59" s="6" t="s">
        <v>1415</v>
      </c>
      <c r="AB59" s="6" t="s">
        <v>1416</v>
      </c>
    </row>
  </sheetData>
  <autoFilter ref="A1:AC60" xr:uid="{06111796-8F0E-4564-9807-8EBE8B7D5AE9}"/>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1911-215E-4F56-A211-933D0F00BC6D}">
  <sheetPr>
    <tabColor rgb="FF002060"/>
  </sheetPr>
  <dimension ref="A1:AJ37"/>
  <sheetViews>
    <sheetView topLeftCell="I1" zoomScale="70" zoomScaleNormal="70" workbookViewId="0">
      <selection activeCell="R47" sqref="R47"/>
    </sheetView>
  </sheetViews>
  <sheetFormatPr defaultRowHeight="14.5" x14ac:dyDescent="0.35"/>
  <cols>
    <col min="2" max="2" width="16.36328125" customWidth="1"/>
    <col min="5" max="5" width="13.08984375" bestFit="1" customWidth="1"/>
    <col min="6" max="6" width="12.453125" bestFit="1" customWidth="1"/>
    <col min="9" max="9" width="20.90625" bestFit="1" customWidth="1"/>
    <col min="10" max="10" width="12.453125" bestFit="1" customWidth="1"/>
    <col min="13" max="13" width="32.6328125" customWidth="1"/>
    <col min="14" max="14" width="14.453125" customWidth="1"/>
    <col min="17" max="17" width="7.90625" customWidth="1"/>
    <col min="18" max="18" width="12" customWidth="1"/>
    <col min="19" max="19" width="12.08984375" customWidth="1"/>
    <col min="22" max="22" width="6" customWidth="1"/>
    <col min="23" max="23" width="23.81640625" customWidth="1"/>
    <col min="24" max="24" width="12" customWidth="1"/>
    <col min="26" max="26" width="23.453125" customWidth="1"/>
    <col min="27" max="27" width="12.81640625" bestFit="1" customWidth="1"/>
    <col min="28" max="28" width="30.81640625" bestFit="1" customWidth="1"/>
    <col min="30" max="30" width="21.6328125" customWidth="1"/>
    <col min="31" max="31" width="12.81640625" customWidth="1"/>
    <col min="34" max="34" width="16.54296875" bestFit="1" customWidth="1"/>
    <col min="35" max="35" width="14.08984375" bestFit="1" customWidth="1"/>
    <col min="36" max="36" width="14.1796875" bestFit="1" customWidth="1"/>
  </cols>
  <sheetData>
    <row r="1" spans="1:36" ht="32.4" customHeight="1" x14ac:dyDescent="0.45">
      <c r="A1" s="45" t="s">
        <v>635</v>
      </c>
      <c r="B1" s="45"/>
      <c r="E1" s="44" t="s">
        <v>636</v>
      </c>
      <c r="F1" s="44"/>
      <c r="I1" s="44" t="s">
        <v>637</v>
      </c>
      <c r="J1" s="44"/>
      <c r="M1" s="44" t="s">
        <v>638</v>
      </c>
      <c r="N1" s="44"/>
      <c r="Q1" s="46" t="s">
        <v>249</v>
      </c>
      <c r="R1" s="46"/>
      <c r="V1" s="44" t="s">
        <v>642</v>
      </c>
      <c r="W1" s="44"/>
      <c r="X1" s="44"/>
      <c r="Z1" s="44" t="s">
        <v>644</v>
      </c>
      <c r="AA1" s="44"/>
      <c r="AD1" s="44" t="s">
        <v>633</v>
      </c>
      <c r="AE1" s="44"/>
      <c r="AH1" s="44" t="s">
        <v>771</v>
      </c>
      <c r="AI1" s="44"/>
      <c r="AJ1" s="44"/>
    </row>
    <row r="2" spans="1:36" x14ac:dyDescent="0.35">
      <c r="A2" s="2" t="s">
        <v>243</v>
      </c>
      <c r="B2" s="1" t="s">
        <v>623</v>
      </c>
      <c r="E2" s="1" t="s">
        <v>251</v>
      </c>
      <c r="F2" s="1" t="s">
        <v>623</v>
      </c>
      <c r="I2" s="1" t="s">
        <v>634</v>
      </c>
      <c r="J2" s="1" t="s">
        <v>623</v>
      </c>
      <c r="M2" s="1" t="s">
        <v>246</v>
      </c>
      <c r="N2" s="1" t="s">
        <v>623</v>
      </c>
      <c r="Q2" s="1" t="s">
        <v>641</v>
      </c>
      <c r="R2" s="1" t="s">
        <v>623</v>
      </c>
      <c r="T2" s="1"/>
      <c r="U2" s="1"/>
      <c r="V2" s="1" t="s">
        <v>266</v>
      </c>
      <c r="W2" s="1" t="s">
        <v>242</v>
      </c>
      <c r="X2" s="1" t="s">
        <v>641</v>
      </c>
      <c r="Z2" s="1" t="s">
        <v>644</v>
      </c>
      <c r="AA2" s="1" t="s">
        <v>623</v>
      </c>
      <c r="AB2" s="1" t="s">
        <v>772</v>
      </c>
      <c r="AD2" s="1" t="s">
        <v>633</v>
      </c>
      <c r="AE2" s="1" t="s">
        <v>623</v>
      </c>
      <c r="AH2" s="1" t="s">
        <v>1029</v>
      </c>
      <c r="AI2" s="1" t="s">
        <v>765</v>
      </c>
      <c r="AJ2" s="1" t="s">
        <v>766</v>
      </c>
    </row>
    <row r="3" spans="1:36" x14ac:dyDescent="0.35">
      <c r="A3" s="4">
        <v>2021</v>
      </c>
      <c r="B3" s="4">
        <v>1</v>
      </c>
      <c r="E3" s="8">
        <v>2</v>
      </c>
      <c r="F3" s="4">
        <v>4</v>
      </c>
      <c r="I3" s="3" t="s">
        <v>643</v>
      </c>
      <c r="J3" s="4">
        <v>31</v>
      </c>
      <c r="M3" s="3" t="s">
        <v>371</v>
      </c>
      <c r="N3" s="4">
        <v>2</v>
      </c>
      <c r="Q3">
        <v>0</v>
      </c>
      <c r="R3">
        <v>9</v>
      </c>
      <c r="T3" s="3"/>
      <c r="U3" s="3"/>
      <c r="V3" t="s">
        <v>604</v>
      </c>
      <c r="W3" s="3" t="s">
        <v>232</v>
      </c>
      <c r="X3" s="39">
        <v>330</v>
      </c>
      <c r="Z3" t="s">
        <v>326</v>
      </c>
      <c r="AA3">
        <v>8</v>
      </c>
      <c r="AB3" t="s">
        <v>773</v>
      </c>
      <c r="AD3" t="s">
        <v>328</v>
      </c>
      <c r="AE3" s="4">
        <v>40</v>
      </c>
      <c r="AH3" t="s">
        <v>767</v>
      </c>
      <c r="AI3">
        <v>38</v>
      </c>
      <c r="AJ3">
        <v>4</v>
      </c>
    </row>
    <row r="4" spans="1:36" x14ac:dyDescent="0.35">
      <c r="A4" s="4">
        <v>2022</v>
      </c>
      <c r="B4" s="4">
        <v>1</v>
      </c>
      <c r="E4" s="8">
        <v>3</v>
      </c>
      <c r="F4" s="4">
        <v>1</v>
      </c>
      <c r="I4" s="3" t="s">
        <v>244</v>
      </c>
      <c r="J4" s="4">
        <v>27</v>
      </c>
      <c r="M4" s="3" t="s">
        <v>253</v>
      </c>
      <c r="N4" s="4">
        <v>22</v>
      </c>
      <c r="Q4">
        <v>1</v>
      </c>
      <c r="R4">
        <v>7</v>
      </c>
      <c r="T4" s="3"/>
      <c r="U4" s="3"/>
      <c r="V4" t="s">
        <v>594</v>
      </c>
      <c r="W4" s="3" t="s">
        <v>217</v>
      </c>
      <c r="X4" s="39">
        <v>323</v>
      </c>
      <c r="Z4" t="s">
        <v>481</v>
      </c>
      <c r="AA4">
        <v>6</v>
      </c>
      <c r="AB4" t="s">
        <v>774</v>
      </c>
      <c r="AD4" t="s">
        <v>646</v>
      </c>
      <c r="AE4" s="4">
        <v>5</v>
      </c>
      <c r="AH4" t="s">
        <v>768</v>
      </c>
      <c r="AI4">
        <v>385</v>
      </c>
      <c r="AJ4">
        <v>15</v>
      </c>
    </row>
    <row r="5" spans="1:36" x14ac:dyDescent="0.35">
      <c r="A5" s="4">
        <v>2023</v>
      </c>
      <c r="B5" s="4">
        <v>6</v>
      </c>
      <c r="E5" s="8">
        <v>4</v>
      </c>
      <c r="F5" s="4">
        <v>12</v>
      </c>
      <c r="I5" s="1" t="s">
        <v>632</v>
      </c>
      <c r="J5" s="2">
        <f>SUM(J3:J4)</f>
        <v>58</v>
      </c>
      <c r="M5" s="3" t="s">
        <v>325</v>
      </c>
      <c r="N5" s="4">
        <v>14</v>
      </c>
      <c r="Q5">
        <v>2</v>
      </c>
      <c r="R5">
        <v>3</v>
      </c>
      <c r="T5" s="3"/>
      <c r="U5" s="3"/>
      <c r="V5" t="s">
        <v>585</v>
      </c>
      <c r="W5" s="3" t="s">
        <v>199</v>
      </c>
      <c r="X5" s="39">
        <v>243</v>
      </c>
      <c r="Z5" t="s">
        <v>503</v>
      </c>
      <c r="AA5">
        <v>5</v>
      </c>
      <c r="AB5" t="s">
        <v>775</v>
      </c>
      <c r="AD5" t="s">
        <v>339</v>
      </c>
      <c r="AE5" s="4">
        <v>4</v>
      </c>
      <c r="AH5" t="s">
        <v>769</v>
      </c>
      <c r="AI5">
        <v>293</v>
      </c>
      <c r="AJ5">
        <v>16</v>
      </c>
    </row>
    <row r="6" spans="1:36" x14ac:dyDescent="0.35">
      <c r="A6" s="4">
        <v>2024</v>
      </c>
      <c r="B6" s="4">
        <v>12</v>
      </c>
      <c r="E6" s="8">
        <v>5</v>
      </c>
      <c r="F6" s="4">
        <v>10</v>
      </c>
      <c r="M6" s="3" t="s">
        <v>264</v>
      </c>
      <c r="N6" s="4">
        <v>12</v>
      </c>
      <c r="Q6">
        <v>3</v>
      </c>
      <c r="R6">
        <v>3</v>
      </c>
      <c r="T6" s="3"/>
      <c r="U6" s="3"/>
      <c r="V6" t="s">
        <v>590</v>
      </c>
      <c r="W6" s="3" t="s">
        <v>208</v>
      </c>
      <c r="X6" s="39">
        <v>220</v>
      </c>
      <c r="Z6" t="s">
        <v>576</v>
      </c>
      <c r="AA6">
        <v>3</v>
      </c>
      <c r="AB6" t="s">
        <v>776</v>
      </c>
      <c r="AD6" t="s">
        <v>375</v>
      </c>
      <c r="AE6" s="4">
        <v>3</v>
      </c>
      <c r="AH6" t="s">
        <v>770</v>
      </c>
      <c r="AI6">
        <v>238</v>
      </c>
      <c r="AJ6">
        <v>1</v>
      </c>
    </row>
    <row r="7" spans="1:36" x14ac:dyDescent="0.35">
      <c r="A7" s="4">
        <v>2025</v>
      </c>
      <c r="B7" s="4">
        <v>31</v>
      </c>
      <c r="E7" s="8">
        <v>6</v>
      </c>
      <c r="F7" s="4">
        <v>9</v>
      </c>
      <c r="M7" s="3" t="s">
        <v>356</v>
      </c>
      <c r="N7" s="4">
        <v>1</v>
      </c>
      <c r="Q7">
        <v>8</v>
      </c>
      <c r="R7">
        <v>3</v>
      </c>
      <c r="T7" s="3"/>
      <c r="U7" s="3"/>
      <c r="V7" t="s">
        <v>544</v>
      </c>
      <c r="W7" s="3" t="s">
        <v>116</v>
      </c>
      <c r="X7" s="39">
        <v>88</v>
      </c>
      <c r="Z7" t="s">
        <v>474</v>
      </c>
      <c r="AA7">
        <v>2</v>
      </c>
      <c r="AB7" t="s">
        <v>777</v>
      </c>
      <c r="AD7" t="s">
        <v>336</v>
      </c>
      <c r="AE7" s="4">
        <v>1</v>
      </c>
      <c r="AH7" t="s">
        <v>764</v>
      </c>
      <c r="AI7">
        <v>506</v>
      </c>
      <c r="AJ7">
        <v>22</v>
      </c>
    </row>
    <row r="8" spans="1:36" x14ac:dyDescent="0.35">
      <c r="A8" s="4">
        <v>2026</v>
      </c>
      <c r="B8" s="4">
        <v>7</v>
      </c>
      <c r="E8" s="8">
        <v>7</v>
      </c>
      <c r="F8" s="4">
        <v>6</v>
      </c>
      <c r="M8" s="3" t="s">
        <v>167</v>
      </c>
      <c r="N8" s="4">
        <v>1</v>
      </c>
      <c r="Q8">
        <v>4</v>
      </c>
      <c r="R8">
        <v>2</v>
      </c>
      <c r="T8" s="3"/>
      <c r="U8" s="3"/>
      <c r="V8" t="s">
        <v>592</v>
      </c>
      <c r="W8" s="3" t="s">
        <v>213</v>
      </c>
      <c r="X8" s="39">
        <v>85</v>
      </c>
      <c r="Z8" t="s">
        <v>486</v>
      </c>
      <c r="AA8">
        <v>2</v>
      </c>
      <c r="AB8" t="s">
        <v>778</v>
      </c>
      <c r="AD8" t="s">
        <v>342</v>
      </c>
      <c r="AE8" s="4">
        <v>1</v>
      </c>
      <c r="AH8" s="1" t="s">
        <v>632</v>
      </c>
      <c r="AI8" s="1">
        <f>SUM(AI3:AI7)</f>
        <v>1460</v>
      </c>
      <c r="AJ8" s="1">
        <f>SUM(AJ3:AJ7)</f>
        <v>58</v>
      </c>
    </row>
    <row r="9" spans="1:36" x14ac:dyDescent="0.35">
      <c r="A9" s="1" t="s">
        <v>632</v>
      </c>
      <c r="B9" s="2">
        <f>SUM(B3:B8)</f>
        <v>58</v>
      </c>
      <c r="E9" s="8">
        <v>8</v>
      </c>
      <c r="F9" s="4">
        <v>7</v>
      </c>
      <c r="M9" s="3" t="s">
        <v>380</v>
      </c>
      <c r="N9" s="4">
        <v>1</v>
      </c>
      <c r="Q9">
        <v>34</v>
      </c>
      <c r="R9">
        <v>2</v>
      </c>
      <c r="T9" s="3"/>
      <c r="U9" s="3"/>
      <c r="V9" t="s">
        <v>529</v>
      </c>
      <c r="W9" s="3" t="s">
        <v>89</v>
      </c>
      <c r="X9" s="39">
        <v>79</v>
      </c>
      <c r="Z9" t="s">
        <v>492</v>
      </c>
      <c r="AA9">
        <v>2</v>
      </c>
      <c r="AB9" t="s">
        <v>779</v>
      </c>
      <c r="AD9" t="s">
        <v>395</v>
      </c>
      <c r="AE9" s="4">
        <v>1</v>
      </c>
    </row>
    <row r="10" spans="1:36" x14ac:dyDescent="0.35">
      <c r="E10" s="8">
        <v>9</v>
      </c>
      <c r="F10" s="4">
        <v>3</v>
      </c>
      <c r="M10" s="3" t="s">
        <v>187</v>
      </c>
      <c r="N10" s="4">
        <v>1</v>
      </c>
      <c r="Q10">
        <v>44</v>
      </c>
      <c r="R10">
        <v>2</v>
      </c>
      <c r="T10" s="3"/>
      <c r="U10" s="3"/>
      <c r="V10" t="s">
        <v>532</v>
      </c>
      <c r="W10" s="3" t="s">
        <v>94</v>
      </c>
      <c r="X10" s="39">
        <v>78</v>
      </c>
      <c r="Z10" t="s">
        <v>508</v>
      </c>
      <c r="AA10">
        <v>2</v>
      </c>
      <c r="AB10" t="s">
        <v>780</v>
      </c>
      <c r="AD10" t="s">
        <v>354</v>
      </c>
      <c r="AE10" s="4">
        <v>1</v>
      </c>
    </row>
    <row r="11" spans="1:36" x14ac:dyDescent="0.35">
      <c r="E11" s="8">
        <v>10</v>
      </c>
      <c r="F11" s="4">
        <v>3</v>
      </c>
      <c r="M11" s="3" t="s">
        <v>239</v>
      </c>
      <c r="N11" s="4">
        <v>2</v>
      </c>
      <c r="Q11">
        <v>78</v>
      </c>
      <c r="R11">
        <v>2</v>
      </c>
      <c r="T11" s="3"/>
      <c r="U11" s="3"/>
      <c r="V11" t="s">
        <v>482</v>
      </c>
      <c r="W11" s="3" t="s">
        <v>17</v>
      </c>
      <c r="X11" s="39">
        <v>78</v>
      </c>
      <c r="Z11" t="s">
        <v>514</v>
      </c>
      <c r="AA11">
        <v>2</v>
      </c>
      <c r="AB11" t="s">
        <v>781</v>
      </c>
      <c r="AD11" t="s">
        <v>647</v>
      </c>
      <c r="AE11" s="4">
        <v>1</v>
      </c>
    </row>
    <row r="12" spans="1:36" x14ac:dyDescent="0.35">
      <c r="E12" s="8">
        <v>11</v>
      </c>
      <c r="F12" s="4">
        <v>1</v>
      </c>
      <c r="M12" s="3" t="s">
        <v>334</v>
      </c>
      <c r="N12" s="4">
        <v>2</v>
      </c>
      <c r="Q12">
        <v>6</v>
      </c>
      <c r="R12">
        <v>1</v>
      </c>
      <c r="T12" s="3"/>
      <c r="U12" s="3"/>
      <c r="V12" t="s">
        <v>479</v>
      </c>
      <c r="W12" s="3" t="s">
        <v>13</v>
      </c>
      <c r="X12" s="4">
        <v>75</v>
      </c>
      <c r="Z12" t="s">
        <v>531</v>
      </c>
      <c r="AA12">
        <v>2</v>
      </c>
      <c r="AB12" t="s">
        <v>782</v>
      </c>
      <c r="AD12" t="s">
        <v>393</v>
      </c>
      <c r="AE12" s="4">
        <v>1</v>
      </c>
    </row>
    <row r="13" spans="1:36" x14ac:dyDescent="0.35">
      <c r="E13" s="8">
        <v>16</v>
      </c>
      <c r="F13" s="4">
        <v>1</v>
      </c>
      <c r="M13" s="9" t="s">
        <v>632</v>
      </c>
      <c r="N13" s="10">
        <f>SUM(N3:N12)</f>
        <v>58</v>
      </c>
      <c r="Q13">
        <v>7</v>
      </c>
      <c r="R13">
        <v>1</v>
      </c>
      <c r="S13" s="4"/>
      <c r="T13" s="3"/>
      <c r="U13" s="3"/>
      <c r="V13" s="3"/>
      <c r="W13" s="4"/>
      <c r="X13" s="4"/>
      <c r="Z13" t="s">
        <v>555</v>
      </c>
      <c r="AA13">
        <v>2</v>
      </c>
      <c r="AB13" t="s">
        <v>783</v>
      </c>
      <c r="AD13" s="1" t="s">
        <v>632</v>
      </c>
      <c r="AE13" s="2">
        <f>SUM(AE3:AE12)</f>
        <v>58</v>
      </c>
    </row>
    <row r="14" spans="1:36" x14ac:dyDescent="0.35">
      <c r="E14" s="8">
        <v>26</v>
      </c>
      <c r="F14" s="4">
        <v>1</v>
      </c>
      <c r="Q14">
        <v>9</v>
      </c>
      <c r="R14">
        <v>1</v>
      </c>
      <c r="S14" s="4"/>
      <c r="T14" s="3"/>
      <c r="X14" s="4"/>
      <c r="Z14" t="s">
        <v>589</v>
      </c>
      <c r="AA14">
        <v>2</v>
      </c>
      <c r="AB14" t="s">
        <v>784</v>
      </c>
    </row>
    <row r="15" spans="1:36" x14ac:dyDescent="0.35">
      <c r="E15" s="8"/>
      <c r="F15" s="4"/>
      <c r="Q15">
        <v>10</v>
      </c>
      <c r="R15">
        <v>1</v>
      </c>
      <c r="Z15" t="s">
        <v>630</v>
      </c>
      <c r="AA15">
        <v>2</v>
      </c>
      <c r="AB15" t="s">
        <v>785</v>
      </c>
    </row>
    <row r="16" spans="1:36" x14ac:dyDescent="0.35">
      <c r="E16" s="1" t="s">
        <v>632</v>
      </c>
      <c r="F16" s="2">
        <f>SUM(F3:F15)</f>
        <v>58</v>
      </c>
      <c r="Q16">
        <v>15</v>
      </c>
      <c r="R16">
        <v>1</v>
      </c>
      <c r="Z16" t="s">
        <v>520</v>
      </c>
      <c r="AA16">
        <v>2</v>
      </c>
      <c r="AB16" t="s">
        <v>786</v>
      </c>
    </row>
    <row r="17" spans="17:28" x14ac:dyDescent="0.35">
      <c r="Q17">
        <v>19</v>
      </c>
      <c r="R17">
        <v>1</v>
      </c>
      <c r="Z17" t="s">
        <v>489</v>
      </c>
      <c r="AA17">
        <v>1</v>
      </c>
      <c r="AB17" t="s">
        <v>275</v>
      </c>
    </row>
    <row r="18" spans="17:28" x14ac:dyDescent="0.35">
      <c r="Q18">
        <v>22</v>
      </c>
      <c r="R18">
        <v>1</v>
      </c>
      <c r="Z18" t="s">
        <v>800</v>
      </c>
      <c r="AA18">
        <v>1</v>
      </c>
      <c r="AB18" t="s">
        <v>270</v>
      </c>
    </row>
    <row r="19" spans="17:28" x14ac:dyDescent="0.35">
      <c r="Q19">
        <v>23</v>
      </c>
      <c r="R19">
        <v>1</v>
      </c>
      <c r="Z19" t="s">
        <v>500</v>
      </c>
      <c r="AA19">
        <v>1</v>
      </c>
      <c r="AB19" t="s">
        <v>277</v>
      </c>
    </row>
    <row r="20" spans="17:28" x14ac:dyDescent="0.35">
      <c r="Q20">
        <v>26</v>
      </c>
      <c r="R20">
        <v>1</v>
      </c>
      <c r="Z20" t="s">
        <v>511</v>
      </c>
      <c r="AA20">
        <v>1</v>
      </c>
      <c r="AB20" t="s">
        <v>281</v>
      </c>
    </row>
    <row r="21" spans="17:28" x14ac:dyDescent="0.35">
      <c r="Q21">
        <v>27</v>
      </c>
      <c r="R21">
        <v>1</v>
      </c>
      <c r="Z21" t="s">
        <v>517</v>
      </c>
      <c r="AA21">
        <v>1</v>
      </c>
      <c r="AB21" t="s">
        <v>283</v>
      </c>
    </row>
    <row r="22" spans="17:28" x14ac:dyDescent="0.35">
      <c r="Q22">
        <v>28</v>
      </c>
      <c r="R22">
        <v>1</v>
      </c>
      <c r="Z22" t="s">
        <v>446</v>
      </c>
      <c r="AA22">
        <v>1</v>
      </c>
      <c r="AB22" t="s">
        <v>285</v>
      </c>
    </row>
    <row r="23" spans="17:28" x14ac:dyDescent="0.35">
      <c r="Q23">
        <v>31</v>
      </c>
      <c r="R23">
        <v>1</v>
      </c>
      <c r="Z23" t="s">
        <v>525</v>
      </c>
      <c r="AA23">
        <v>1</v>
      </c>
      <c r="AB23" t="s">
        <v>286</v>
      </c>
    </row>
    <row r="24" spans="17:28" x14ac:dyDescent="0.35">
      <c r="Q24">
        <v>47</v>
      </c>
      <c r="R24">
        <v>1</v>
      </c>
      <c r="Z24" t="s">
        <v>528</v>
      </c>
      <c r="AA24">
        <v>1</v>
      </c>
      <c r="AB24" t="s">
        <v>287</v>
      </c>
    </row>
    <row r="25" spans="17:28" x14ac:dyDescent="0.35">
      <c r="Q25">
        <v>48</v>
      </c>
      <c r="R25">
        <v>1</v>
      </c>
      <c r="Z25" t="s">
        <v>534</v>
      </c>
      <c r="AA25">
        <v>1</v>
      </c>
      <c r="AB25" t="s">
        <v>289</v>
      </c>
    </row>
    <row r="26" spans="17:28" x14ac:dyDescent="0.35">
      <c r="Q26">
        <v>51</v>
      </c>
      <c r="R26">
        <v>1</v>
      </c>
      <c r="Z26" t="s">
        <v>543</v>
      </c>
      <c r="AA26">
        <v>1</v>
      </c>
      <c r="AB26" t="s">
        <v>293</v>
      </c>
    </row>
    <row r="27" spans="17:28" x14ac:dyDescent="0.35">
      <c r="Q27">
        <v>65</v>
      </c>
      <c r="R27">
        <v>1</v>
      </c>
      <c r="Z27" t="s">
        <v>552</v>
      </c>
      <c r="AA27">
        <v>1</v>
      </c>
      <c r="AB27" t="s">
        <v>297</v>
      </c>
    </row>
    <row r="28" spans="17:28" x14ac:dyDescent="0.35">
      <c r="Q28">
        <v>66</v>
      </c>
      <c r="R28">
        <v>1</v>
      </c>
      <c r="Z28" t="s">
        <v>561</v>
      </c>
      <c r="AA28">
        <v>1</v>
      </c>
      <c r="AB28" t="s">
        <v>300</v>
      </c>
    </row>
    <row r="29" spans="17:28" x14ac:dyDescent="0.35">
      <c r="Q29">
        <v>75</v>
      </c>
      <c r="R29">
        <v>1</v>
      </c>
      <c r="Z29" t="s">
        <v>571</v>
      </c>
      <c r="AA29">
        <v>1</v>
      </c>
      <c r="AB29" t="s">
        <v>305</v>
      </c>
    </row>
    <row r="30" spans="17:28" x14ac:dyDescent="0.35">
      <c r="Q30">
        <v>79</v>
      </c>
      <c r="R30">
        <v>1</v>
      </c>
      <c r="Z30" t="s">
        <v>596</v>
      </c>
      <c r="AA30">
        <v>1</v>
      </c>
      <c r="AB30" t="s">
        <v>316</v>
      </c>
    </row>
    <row r="31" spans="17:28" x14ac:dyDescent="0.35">
      <c r="Q31">
        <v>85</v>
      </c>
      <c r="R31">
        <v>1</v>
      </c>
      <c r="Z31" t="s">
        <v>599</v>
      </c>
      <c r="AA31">
        <v>1</v>
      </c>
      <c r="AB31" t="s">
        <v>317</v>
      </c>
    </row>
    <row r="32" spans="17:28" x14ac:dyDescent="0.35">
      <c r="Q32">
        <v>88</v>
      </c>
      <c r="R32">
        <v>1</v>
      </c>
      <c r="Z32" t="s">
        <v>762</v>
      </c>
      <c r="AA32">
        <v>1</v>
      </c>
      <c r="AB32" t="s">
        <v>323</v>
      </c>
    </row>
    <row r="33" spans="17:18" x14ac:dyDescent="0.35">
      <c r="Q33">
        <v>220</v>
      </c>
      <c r="R33">
        <v>1</v>
      </c>
    </row>
    <row r="34" spans="17:18" x14ac:dyDescent="0.35">
      <c r="Q34">
        <v>243</v>
      </c>
      <c r="R34">
        <v>1</v>
      </c>
    </row>
    <row r="35" spans="17:18" x14ac:dyDescent="0.35">
      <c r="Q35">
        <v>323</v>
      </c>
      <c r="R35">
        <v>1</v>
      </c>
    </row>
    <row r="36" spans="17:18" x14ac:dyDescent="0.35">
      <c r="Q36">
        <v>330</v>
      </c>
      <c r="R36">
        <v>1</v>
      </c>
    </row>
    <row r="37" spans="17:18" x14ac:dyDescent="0.35">
      <c r="Q37" s="1" t="s">
        <v>1037</v>
      </c>
      <c r="R37" s="1">
        <f>SUM(R3:R36)</f>
        <v>58</v>
      </c>
    </row>
  </sheetData>
  <sortState xmlns:xlrd2="http://schemas.microsoft.com/office/spreadsheetml/2017/richdata2" ref="E3:F14">
    <sortCondition ref="E3:E14"/>
  </sortState>
  <mergeCells count="9">
    <mergeCell ref="Z1:AA1"/>
    <mergeCell ref="AD1:AE1"/>
    <mergeCell ref="AH1:AJ1"/>
    <mergeCell ref="V1:X1"/>
    <mergeCell ref="A1:B1"/>
    <mergeCell ref="E1:F1"/>
    <mergeCell ref="I1:J1"/>
    <mergeCell ref="M1:N1"/>
    <mergeCell ref="Q1:R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B744F-9323-4C21-BAA7-586CF0A124E8}">
  <sheetPr>
    <tabColor rgb="FF00B050"/>
  </sheetPr>
  <dimension ref="A1:L20"/>
  <sheetViews>
    <sheetView tabSelected="1" workbookViewId="0">
      <selection activeCell="D14" sqref="D14"/>
    </sheetView>
  </sheetViews>
  <sheetFormatPr defaultRowHeight="14.5" x14ac:dyDescent="0.35"/>
  <cols>
    <col min="1" max="1" width="15.81640625" customWidth="1"/>
    <col min="2" max="2" width="17" customWidth="1"/>
    <col min="6" max="6" width="23.81640625" customWidth="1"/>
    <col min="7" max="7" width="18" customWidth="1"/>
    <col min="8" max="8" width="12.81640625" bestFit="1" customWidth="1"/>
    <col min="12" max="12" width="26.26953125" customWidth="1"/>
  </cols>
  <sheetData>
    <row r="1" spans="1:12" ht="18.5" x14ac:dyDescent="0.35">
      <c r="A1" s="44" t="s">
        <v>640</v>
      </c>
      <c r="B1" s="44"/>
      <c r="F1" s="44" t="s">
        <v>639</v>
      </c>
      <c r="G1" s="44"/>
      <c r="H1" s="44"/>
      <c r="K1" s="1"/>
      <c r="L1" s="1"/>
    </row>
    <row r="2" spans="1:12" x14ac:dyDescent="0.35">
      <c r="A2" s="1" t="s">
        <v>250</v>
      </c>
      <c r="B2" s="1" t="s">
        <v>623</v>
      </c>
      <c r="E2" s="9"/>
      <c r="F2" s="1" t="s">
        <v>384</v>
      </c>
      <c r="G2" s="1" t="s">
        <v>808</v>
      </c>
      <c r="H2" s="1" t="s">
        <v>623</v>
      </c>
    </row>
    <row r="3" spans="1:12" x14ac:dyDescent="0.35">
      <c r="A3" s="4" t="s">
        <v>1408</v>
      </c>
      <c r="B3">
        <v>38</v>
      </c>
      <c r="E3" s="3"/>
      <c r="F3" s="3" t="s">
        <v>472</v>
      </c>
      <c r="G3" t="s">
        <v>809</v>
      </c>
      <c r="H3">
        <v>29</v>
      </c>
    </row>
    <row r="4" spans="1:12" x14ac:dyDescent="0.35">
      <c r="A4" s="4" t="s">
        <v>1409</v>
      </c>
      <c r="B4">
        <v>15</v>
      </c>
      <c r="E4" s="3"/>
      <c r="F4" s="3" t="s">
        <v>618</v>
      </c>
      <c r="G4" t="s">
        <v>810</v>
      </c>
      <c r="H4">
        <v>4</v>
      </c>
    </row>
    <row r="5" spans="1:12" x14ac:dyDescent="0.35">
      <c r="A5" s="4" t="s">
        <v>1410</v>
      </c>
      <c r="B5">
        <v>5</v>
      </c>
      <c r="E5" s="3"/>
      <c r="F5" s="3" t="s">
        <v>801</v>
      </c>
      <c r="G5" t="s">
        <v>521</v>
      </c>
      <c r="H5">
        <v>1</v>
      </c>
    </row>
    <row r="6" spans="1:12" x14ac:dyDescent="0.35">
      <c r="A6" s="2" t="s">
        <v>632</v>
      </c>
      <c r="B6" s="1">
        <f>SUM(B3:B5)</f>
        <v>58</v>
      </c>
      <c r="E6" s="3"/>
      <c r="F6" s="3" t="s">
        <v>614</v>
      </c>
      <c r="G6" t="s">
        <v>539</v>
      </c>
      <c r="H6">
        <v>1</v>
      </c>
    </row>
    <row r="7" spans="1:12" x14ac:dyDescent="0.35">
      <c r="E7" s="3"/>
      <c r="F7" s="3" t="s">
        <v>615</v>
      </c>
      <c r="G7" t="s">
        <v>541</v>
      </c>
      <c r="H7">
        <v>1</v>
      </c>
    </row>
    <row r="8" spans="1:12" x14ac:dyDescent="0.35">
      <c r="E8" s="3"/>
      <c r="F8" s="3" t="s">
        <v>616</v>
      </c>
      <c r="G8" t="s">
        <v>544</v>
      </c>
      <c r="H8">
        <v>1</v>
      </c>
    </row>
    <row r="9" spans="1:12" x14ac:dyDescent="0.35">
      <c r="E9" s="3"/>
      <c r="F9" s="3" t="s">
        <v>806</v>
      </c>
      <c r="G9" t="s">
        <v>581</v>
      </c>
      <c r="H9">
        <v>1</v>
      </c>
    </row>
    <row r="10" spans="1:12" x14ac:dyDescent="0.35">
      <c r="E10" s="3"/>
      <c r="F10" s="3" t="s">
        <v>617</v>
      </c>
      <c r="G10" t="s">
        <v>811</v>
      </c>
      <c r="H10">
        <v>8</v>
      </c>
    </row>
    <row r="11" spans="1:12" x14ac:dyDescent="0.35">
      <c r="E11" s="3"/>
      <c r="F11" s="3" t="s">
        <v>620</v>
      </c>
      <c r="G11" t="s">
        <v>594</v>
      </c>
      <c r="H11">
        <v>1</v>
      </c>
    </row>
    <row r="12" spans="1:12" x14ac:dyDescent="0.35">
      <c r="E12" s="3"/>
      <c r="F12" s="3" t="s">
        <v>807</v>
      </c>
      <c r="G12" t="s">
        <v>592</v>
      </c>
      <c r="H12">
        <v>1</v>
      </c>
    </row>
    <row r="13" spans="1:12" x14ac:dyDescent="0.35">
      <c r="E13" s="3"/>
      <c r="F13" s="3" t="s">
        <v>622</v>
      </c>
      <c r="G13" t="s">
        <v>553</v>
      </c>
      <c r="H13">
        <v>1</v>
      </c>
    </row>
    <row r="14" spans="1:12" x14ac:dyDescent="0.35">
      <c r="E14" s="3"/>
      <c r="F14" s="3" t="s">
        <v>621</v>
      </c>
      <c r="G14" t="s">
        <v>526</v>
      </c>
      <c r="H14">
        <v>1</v>
      </c>
    </row>
    <row r="15" spans="1:12" x14ac:dyDescent="0.35">
      <c r="E15" s="3"/>
      <c r="F15" s="3" t="s">
        <v>619</v>
      </c>
      <c r="G15" t="s">
        <v>493</v>
      </c>
      <c r="H15">
        <v>1</v>
      </c>
    </row>
    <row r="16" spans="1:12" x14ac:dyDescent="0.35">
      <c r="E16" s="3"/>
      <c r="F16" s="3" t="s">
        <v>612</v>
      </c>
      <c r="G16" t="s">
        <v>490</v>
      </c>
      <c r="H16">
        <v>1</v>
      </c>
    </row>
    <row r="17" spans="5:8" x14ac:dyDescent="0.35">
      <c r="E17" s="3"/>
      <c r="F17" s="3" t="s">
        <v>613</v>
      </c>
      <c r="G17" t="s">
        <v>496</v>
      </c>
      <c r="H17">
        <v>1</v>
      </c>
    </row>
    <row r="18" spans="5:8" x14ac:dyDescent="0.35">
      <c r="E18" s="3"/>
      <c r="F18" s="3" t="s">
        <v>625</v>
      </c>
      <c r="G18" t="s">
        <v>812</v>
      </c>
      <c r="H18">
        <v>3</v>
      </c>
    </row>
    <row r="19" spans="5:8" x14ac:dyDescent="0.35">
      <c r="E19" s="3"/>
      <c r="F19" s="3" t="s">
        <v>624</v>
      </c>
      <c r="G19" t="s">
        <v>569</v>
      </c>
      <c r="H19">
        <v>1</v>
      </c>
    </row>
    <row r="20" spans="5:8" x14ac:dyDescent="0.35">
      <c r="E20" s="3"/>
      <c r="F20" s="3" t="s">
        <v>805</v>
      </c>
      <c r="G20" t="s">
        <v>567</v>
      </c>
      <c r="H20">
        <v>1</v>
      </c>
    </row>
  </sheetData>
  <mergeCells count="2">
    <mergeCell ref="A1:B1"/>
    <mergeCell ref="F1:H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6E774-51CB-46FC-87A7-AAB59337B939}">
  <sheetPr>
    <tabColor rgb="FF00B050"/>
  </sheetPr>
  <dimension ref="B1:H12"/>
  <sheetViews>
    <sheetView zoomScaleNormal="100" workbookViewId="0">
      <selection activeCell="E32" sqref="E32"/>
    </sheetView>
  </sheetViews>
  <sheetFormatPr defaultRowHeight="14.5" x14ac:dyDescent="0.35"/>
  <cols>
    <col min="1" max="1" width="8.90625" customWidth="1"/>
    <col min="2" max="2" width="37.453125" bestFit="1" customWidth="1"/>
    <col min="3" max="4" width="12.453125" bestFit="1" customWidth="1"/>
    <col min="6" max="6" width="8.90625" customWidth="1"/>
    <col min="7" max="7" width="10.08984375" customWidth="1"/>
    <col min="8" max="8" width="8.90625" customWidth="1"/>
  </cols>
  <sheetData>
    <row r="1" spans="2:8" x14ac:dyDescent="0.35">
      <c r="B1" s="1" t="s">
        <v>746</v>
      </c>
      <c r="C1" s="1" t="s">
        <v>623</v>
      </c>
      <c r="H1" s="1"/>
    </row>
    <row r="2" spans="2:8" x14ac:dyDescent="0.35">
      <c r="B2" t="s">
        <v>677</v>
      </c>
      <c r="C2">
        <v>8</v>
      </c>
    </row>
    <row r="3" spans="2:8" x14ac:dyDescent="0.35">
      <c r="B3" t="s">
        <v>678</v>
      </c>
      <c r="C3">
        <v>18</v>
      </c>
    </row>
    <row r="4" spans="2:8" x14ac:dyDescent="0.35">
      <c r="B4" t="s">
        <v>679</v>
      </c>
      <c r="C4">
        <v>7</v>
      </c>
    </row>
    <row r="5" spans="2:8" x14ac:dyDescent="0.35">
      <c r="B5" t="s">
        <v>680</v>
      </c>
      <c r="C5">
        <v>4</v>
      </c>
    </row>
    <row r="6" spans="2:8" x14ac:dyDescent="0.35">
      <c r="B6" t="s">
        <v>682</v>
      </c>
      <c r="C6">
        <v>7</v>
      </c>
    </row>
    <row r="7" spans="2:8" x14ac:dyDescent="0.35">
      <c r="B7" t="s">
        <v>681</v>
      </c>
      <c r="C7">
        <v>2</v>
      </c>
    </row>
    <row r="8" spans="2:8" x14ac:dyDescent="0.35">
      <c r="B8" t="s">
        <v>684</v>
      </c>
      <c r="C8">
        <v>1</v>
      </c>
    </row>
    <row r="9" spans="2:8" x14ac:dyDescent="0.35">
      <c r="B9" t="s">
        <v>1231</v>
      </c>
      <c r="C9">
        <v>6</v>
      </c>
    </row>
    <row r="10" spans="2:8" x14ac:dyDescent="0.35">
      <c r="B10" t="s">
        <v>683</v>
      </c>
      <c r="C10">
        <v>5</v>
      </c>
    </row>
    <row r="11" spans="2:8" x14ac:dyDescent="0.35">
      <c r="B11" s="1" t="s">
        <v>632</v>
      </c>
      <c r="C11" s="1">
        <f>SUM(C2:C10)</f>
        <v>58</v>
      </c>
    </row>
    <row r="12" spans="2:8" x14ac:dyDescent="0.35">
      <c r="B12" s="1"/>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0CB7-61A1-4A4A-8013-17B51971EAB4}">
  <sheetPr>
    <tabColor rgb="FF00B050"/>
  </sheetPr>
  <dimension ref="A1:N59"/>
  <sheetViews>
    <sheetView workbookViewId="0">
      <selection activeCell="B1" sqref="B1"/>
    </sheetView>
  </sheetViews>
  <sheetFormatPr defaultRowHeight="14.5" x14ac:dyDescent="0.35"/>
  <cols>
    <col min="1" max="1" width="33.90625" bestFit="1" customWidth="1"/>
    <col min="2" max="2" width="43.54296875" customWidth="1"/>
    <col min="3" max="3" width="13.1796875" bestFit="1" customWidth="1"/>
    <col min="4" max="4" width="37.81640625" bestFit="1" customWidth="1"/>
    <col min="5" max="5" width="20.81640625" bestFit="1" customWidth="1"/>
    <col min="6" max="6" width="40.1796875" customWidth="1"/>
    <col min="7" max="7" width="12.90625" bestFit="1" customWidth="1"/>
    <col min="8" max="8" width="15" customWidth="1"/>
    <col min="10" max="10" width="8.08984375" customWidth="1"/>
  </cols>
  <sheetData>
    <row r="1" spans="1:14" x14ac:dyDescent="0.35">
      <c r="A1" s="1" t="s">
        <v>1232</v>
      </c>
      <c r="B1" s="1" t="s">
        <v>928</v>
      </c>
      <c r="C1" s="1" t="s">
        <v>623</v>
      </c>
      <c r="E1" s="11" t="s">
        <v>927</v>
      </c>
      <c r="F1" s="2" t="s">
        <v>928</v>
      </c>
      <c r="G1" s="1" t="s">
        <v>623</v>
      </c>
      <c r="H1" s="1"/>
      <c r="I1" s="1"/>
      <c r="K1" s="1"/>
      <c r="L1" s="1"/>
      <c r="M1" s="1"/>
      <c r="N1" s="1"/>
    </row>
    <row r="2" spans="1:14" x14ac:dyDescent="0.35">
      <c r="A2" s="15" t="s">
        <v>1102</v>
      </c>
      <c r="B2" t="s">
        <v>1236</v>
      </c>
      <c r="C2" s="18">
        <v>24</v>
      </c>
      <c r="D2" s="15"/>
      <c r="E2" s="3" t="s">
        <v>994</v>
      </c>
      <c r="F2" s="3" t="s">
        <v>930</v>
      </c>
      <c r="G2" s="12">
        <v>24</v>
      </c>
    </row>
    <row r="3" spans="1:14" x14ac:dyDescent="0.35">
      <c r="A3" s="15" t="s">
        <v>1298</v>
      </c>
      <c r="B3" t="s">
        <v>1234</v>
      </c>
      <c r="C3" s="18">
        <v>11</v>
      </c>
      <c r="D3" s="15"/>
      <c r="E3" s="3" t="s">
        <v>996</v>
      </c>
      <c r="F3" s="3" t="s">
        <v>931</v>
      </c>
      <c r="G3" s="12">
        <v>10</v>
      </c>
    </row>
    <row r="4" spans="1:14" x14ac:dyDescent="0.35">
      <c r="A4" s="15" t="s">
        <v>672</v>
      </c>
      <c r="B4" t="s">
        <v>1235</v>
      </c>
      <c r="C4" s="18">
        <v>17</v>
      </c>
      <c r="D4" s="15"/>
      <c r="E4" s="3" t="s">
        <v>995</v>
      </c>
      <c r="F4" s="3" t="s">
        <v>932</v>
      </c>
      <c r="G4" s="12">
        <v>9</v>
      </c>
    </row>
    <row r="5" spans="1:14" x14ac:dyDescent="0.35">
      <c r="A5" s="15" t="s">
        <v>1299</v>
      </c>
      <c r="B5" t="s">
        <v>1233</v>
      </c>
      <c r="C5" s="18">
        <v>6</v>
      </c>
      <c r="D5" s="15"/>
      <c r="E5" s="3" t="s">
        <v>685</v>
      </c>
      <c r="F5" s="3" t="s">
        <v>933</v>
      </c>
      <c r="G5" s="12">
        <v>6</v>
      </c>
    </row>
    <row r="6" spans="1:14" x14ac:dyDescent="0.35">
      <c r="A6" s="9" t="s">
        <v>632</v>
      </c>
      <c r="B6" s="15"/>
      <c r="C6" s="19">
        <f>SUM(C2:C5)</f>
        <v>58</v>
      </c>
      <c r="E6" s="3" t="s">
        <v>717</v>
      </c>
      <c r="F6" s="3" t="s">
        <v>1300</v>
      </c>
      <c r="G6" s="12">
        <v>6</v>
      </c>
    </row>
    <row r="7" spans="1:14" x14ac:dyDescent="0.35">
      <c r="E7" s="3" t="s">
        <v>997</v>
      </c>
      <c r="F7" s="3" t="s">
        <v>934</v>
      </c>
      <c r="G7" s="12">
        <v>3</v>
      </c>
      <c r="M7" s="1"/>
      <c r="N7" s="1"/>
    </row>
    <row r="8" spans="1:14" x14ac:dyDescent="0.35">
      <c r="E8" s="9" t="s">
        <v>632</v>
      </c>
      <c r="F8" s="3"/>
      <c r="G8" s="7">
        <f>SUM(G2:G7)</f>
        <v>58</v>
      </c>
    </row>
    <row r="9" spans="1:14" x14ac:dyDescent="0.35">
      <c r="A9" s="17" t="s">
        <v>1237</v>
      </c>
      <c r="B9" s="17" t="s">
        <v>928</v>
      </c>
      <c r="C9" s="17" t="s">
        <v>623</v>
      </c>
      <c r="G9" s="3"/>
    </row>
    <row r="10" spans="1:14" x14ac:dyDescent="0.35">
      <c r="A10" s="15" t="s">
        <v>674</v>
      </c>
      <c r="B10" s="16" t="s">
        <v>1097</v>
      </c>
      <c r="C10" s="18">
        <v>5</v>
      </c>
      <c r="G10" s="3"/>
    </row>
    <row r="11" spans="1:14" x14ac:dyDescent="0.35">
      <c r="A11" s="15" t="s">
        <v>675</v>
      </c>
      <c r="B11" s="16" t="s">
        <v>1098</v>
      </c>
      <c r="C11" s="18">
        <v>8</v>
      </c>
      <c r="G11" s="3"/>
    </row>
    <row r="12" spans="1:14" x14ac:dyDescent="0.35">
      <c r="A12" s="15" t="s">
        <v>676</v>
      </c>
      <c r="B12" s="16" t="s">
        <v>1099</v>
      </c>
      <c r="C12" s="18">
        <v>9</v>
      </c>
      <c r="G12" s="3"/>
    </row>
    <row r="13" spans="1:14" x14ac:dyDescent="0.35">
      <c r="A13" s="15" t="s">
        <v>673</v>
      </c>
      <c r="B13" s="16" t="s">
        <v>1100</v>
      </c>
      <c r="C13" s="18">
        <v>9</v>
      </c>
      <c r="G13" s="3"/>
    </row>
    <row r="14" spans="1:14" ht="43.5" x14ac:dyDescent="0.35">
      <c r="A14" s="15" t="s">
        <v>717</v>
      </c>
      <c r="B14" s="16" t="s">
        <v>1101</v>
      </c>
      <c r="C14" s="18">
        <v>27</v>
      </c>
      <c r="G14" s="3"/>
    </row>
    <row r="15" spans="1:14" x14ac:dyDescent="0.35">
      <c r="A15" s="17" t="s">
        <v>632</v>
      </c>
      <c r="B15" s="15"/>
      <c r="C15" s="19">
        <f>SUM(C10:C14)</f>
        <v>58</v>
      </c>
      <c r="G15" s="3"/>
    </row>
    <row r="16" spans="1:14" x14ac:dyDescent="0.35">
      <c r="A16" s="1"/>
      <c r="B16" s="1"/>
      <c r="G16" s="3"/>
    </row>
    <row r="17" spans="7:7" x14ac:dyDescent="0.35">
      <c r="G17" s="3"/>
    </row>
    <row r="18" spans="7:7" x14ac:dyDescent="0.35">
      <c r="G18" s="3"/>
    </row>
    <row r="19" spans="7:7" x14ac:dyDescent="0.35">
      <c r="G19" s="3"/>
    </row>
    <row r="20" spans="7:7" x14ac:dyDescent="0.35">
      <c r="G20" s="3"/>
    </row>
    <row r="21" spans="7:7" x14ac:dyDescent="0.35">
      <c r="G21" s="3"/>
    </row>
    <row r="22" spans="7:7" x14ac:dyDescent="0.35">
      <c r="G22" s="3"/>
    </row>
    <row r="23" spans="7:7" x14ac:dyDescent="0.35">
      <c r="G23" s="3"/>
    </row>
    <row r="24" spans="7:7" x14ac:dyDescent="0.35">
      <c r="G24" s="3"/>
    </row>
    <row r="25" spans="7:7" x14ac:dyDescent="0.35">
      <c r="G25" s="3"/>
    </row>
    <row r="26" spans="7:7" x14ac:dyDescent="0.35">
      <c r="G26" s="3"/>
    </row>
    <row r="27" spans="7:7" x14ac:dyDescent="0.35">
      <c r="G27" s="3"/>
    </row>
    <row r="28" spans="7:7" x14ac:dyDescent="0.35">
      <c r="G28" s="3"/>
    </row>
    <row r="29" spans="7:7" x14ac:dyDescent="0.35">
      <c r="G29" s="3"/>
    </row>
    <row r="30" spans="7:7" x14ac:dyDescent="0.35">
      <c r="G30" s="3"/>
    </row>
    <row r="31" spans="7:7" x14ac:dyDescent="0.35">
      <c r="G31" s="3"/>
    </row>
    <row r="32" spans="7:7" x14ac:dyDescent="0.35">
      <c r="G32" s="3"/>
    </row>
    <row r="33" spans="7:7" x14ac:dyDescent="0.35">
      <c r="G33" s="3"/>
    </row>
    <row r="34" spans="7:7" x14ac:dyDescent="0.35">
      <c r="G34" s="3"/>
    </row>
    <row r="35" spans="7:7" x14ac:dyDescent="0.35">
      <c r="G35" s="3"/>
    </row>
    <row r="36" spans="7:7" x14ac:dyDescent="0.35">
      <c r="G36" s="3"/>
    </row>
    <row r="37" spans="7:7" x14ac:dyDescent="0.35">
      <c r="G37" s="3"/>
    </row>
    <row r="38" spans="7:7" x14ac:dyDescent="0.35">
      <c r="G38" s="3"/>
    </row>
    <row r="39" spans="7:7" x14ac:dyDescent="0.35">
      <c r="G39" s="3"/>
    </row>
    <row r="40" spans="7:7" x14ac:dyDescent="0.35">
      <c r="G40" s="3"/>
    </row>
    <row r="41" spans="7:7" x14ac:dyDescent="0.35">
      <c r="G41" s="3"/>
    </row>
    <row r="42" spans="7:7" x14ac:dyDescent="0.35">
      <c r="G42" s="3"/>
    </row>
    <row r="43" spans="7:7" x14ac:dyDescent="0.35">
      <c r="G43" s="3"/>
    </row>
    <row r="44" spans="7:7" x14ac:dyDescent="0.35">
      <c r="G44" s="3"/>
    </row>
    <row r="45" spans="7:7" x14ac:dyDescent="0.35">
      <c r="G45" s="3"/>
    </row>
    <row r="46" spans="7:7" x14ac:dyDescent="0.35">
      <c r="G46" s="3"/>
    </row>
    <row r="47" spans="7:7" x14ac:dyDescent="0.35">
      <c r="G47" s="3"/>
    </row>
    <row r="48" spans="7:7" x14ac:dyDescent="0.35">
      <c r="G48" s="3"/>
    </row>
    <row r="49" spans="7:7" x14ac:dyDescent="0.35">
      <c r="G49" s="3"/>
    </row>
    <row r="50" spans="7:7" x14ac:dyDescent="0.35">
      <c r="G50" s="3"/>
    </row>
    <row r="51" spans="7:7" x14ac:dyDescent="0.35">
      <c r="G51" s="3"/>
    </row>
    <row r="52" spans="7:7" x14ac:dyDescent="0.35">
      <c r="G52" s="3"/>
    </row>
    <row r="53" spans="7:7" x14ac:dyDescent="0.35">
      <c r="G53" s="3"/>
    </row>
    <row r="54" spans="7:7" x14ac:dyDescent="0.35">
      <c r="G54" s="3"/>
    </row>
    <row r="55" spans="7:7" x14ac:dyDescent="0.35">
      <c r="G55" s="3"/>
    </row>
    <row r="56" spans="7:7" x14ac:dyDescent="0.35">
      <c r="G56" s="3"/>
    </row>
    <row r="57" spans="7:7" x14ac:dyDescent="0.35">
      <c r="G57" s="3"/>
    </row>
    <row r="58" spans="7:7" x14ac:dyDescent="0.35">
      <c r="G58" s="3"/>
    </row>
    <row r="59" spans="7:7" x14ac:dyDescent="0.35">
      <c r="G59" s="3"/>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5684D-B564-404F-81D1-F9DF9B6B6C21}">
  <sheetPr>
    <tabColor rgb="FFFFFF00"/>
  </sheetPr>
  <dimension ref="A1:N62"/>
  <sheetViews>
    <sheetView workbookViewId="0">
      <selection activeCell="G20" sqref="G20"/>
    </sheetView>
  </sheetViews>
  <sheetFormatPr defaultRowHeight="14.5" x14ac:dyDescent="0.35"/>
  <cols>
    <col min="2" max="2" width="26.6328125" customWidth="1"/>
    <col min="3" max="3" width="37.90625" bestFit="1" customWidth="1"/>
    <col min="4" max="4" width="12.81640625" bestFit="1" customWidth="1"/>
    <col min="5" max="5" width="15.6328125" bestFit="1" customWidth="1"/>
    <col min="6" max="6" width="13.6328125" bestFit="1" customWidth="1"/>
    <col min="7" max="7" width="13.6328125" customWidth="1"/>
    <col min="8" max="8" width="21.36328125" bestFit="1" customWidth="1"/>
    <col min="9" max="9" width="30.81640625" bestFit="1" customWidth="1"/>
    <col min="10" max="10" width="12.54296875" bestFit="1" customWidth="1"/>
    <col min="11" max="13" width="21.36328125" bestFit="1" customWidth="1"/>
    <col min="14" max="14" width="12.54296875" bestFit="1" customWidth="1"/>
  </cols>
  <sheetData>
    <row r="1" spans="1:14" x14ac:dyDescent="0.35">
      <c r="A1" s="2" t="s">
        <v>469</v>
      </c>
      <c r="B1" s="2" t="s">
        <v>470</v>
      </c>
      <c r="C1" s="2" t="s">
        <v>648</v>
      </c>
      <c r="D1" s="2" t="s">
        <v>1332</v>
      </c>
      <c r="E1" s="49" t="s">
        <v>1399</v>
      </c>
      <c r="F1" s="47" t="s">
        <v>1397</v>
      </c>
      <c r="G1" s="50"/>
      <c r="H1" s="2" t="s">
        <v>645</v>
      </c>
      <c r="I1" s="11" t="s">
        <v>649</v>
      </c>
      <c r="J1" s="1" t="s">
        <v>671</v>
      </c>
      <c r="K1" s="2"/>
      <c r="L1" s="1" t="s">
        <v>1332</v>
      </c>
      <c r="M1" s="1" t="s">
        <v>671</v>
      </c>
      <c r="N1" s="1"/>
    </row>
    <row r="2" spans="1:14" x14ac:dyDescent="0.35">
      <c r="A2" s="3" t="s">
        <v>471</v>
      </c>
      <c r="B2" s="3" t="s">
        <v>473</v>
      </c>
      <c r="C2" s="3" t="s">
        <v>629</v>
      </c>
      <c r="D2" s="3" t="s">
        <v>1111</v>
      </c>
      <c r="E2" s="8" t="s">
        <v>1416</v>
      </c>
      <c r="F2" s="6" t="s">
        <v>1415</v>
      </c>
      <c r="G2" s="8"/>
      <c r="H2" t="s">
        <v>626</v>
      </c>
      <c r="I2" t="s">
        <v>803</v>
      </c>
      <c r="J2">
        <v>10</v>
      </c>
      <c r="L2" s="3" t="s">
        <v>1396</v>
      </c>
      <c r="M2">
        <v>34</v>
      </c>
    </row>
    <row r="3" spans="1:14" x14ac:dyDescent="0.35">
      <c r="A3" s="3" t="s">
        <v>475</v>
      </c>
      <c r="B3" s="3" t="s">
        <v>476</v>
      </c>
      <c r="C3" s="3" t="s">
        <v>1301</v>
      </c>
      <c r="D3" s="3" t="s">
        <v>1396</v>
      </c>
      <c r="E3" s="8" t="s">
        <v>1416</v>
      </c>
      <c r="F3" s="6" t="s">
        <v>1415</v>
      </c>
      <c r="G3" s="8"/>
      <c r="H3" t="s">
        <v>443</v>
      </c>
      <c r="I3" t="s">
        <v>804</v>
      </c>
      <c r="J3">
        <v>8</v>
      </c>
      <c r="L3" s="3" t="s">
        <v>1417</v>
      </c>
      <c r="M3">
        <v>24</v>
      </c>
    </row>
    <row r="4" spans="1:14" x14ac:dyDescent="0.35">
      <c r="A4" s="3" t="s">
        <v>477</v>
      </c>
      <c r="B4" s="3" t="s">
        <v>478</v>
      </c>
      <c r="C4" s="3" t="s">
        <v>1302</v>
      </c>
      <c r="D4" s="3" t="s">
        <v>1396</v>
      </c>
      <c r="E4" s="8" t="s">
        <v>1416</v>
      </c>
      <c r="F4" s="6" t="s">
        <v>1415</v>
      </c>
      <c r="G4" s="8"/>
      <c r="H4" t="s">
        <v>444</v>
      </c>
      <c r="I4" t="s">
        <v>787</v>
      </c>
      <c r="J4">
        <v>8</v>
      </c>
    </row>
    <row r="5" spans="1:14" x14ac:dyDescent="0.35">
      <c r="A5" s="3" t="s">
        <v>479</v>
      </c>
      <c r="B5" s="3" t="s">
        <v>480</v>
      </c>
      <c r="C5" s="3" t="s">
        <v>443</v>
      </c>
      <c r="D5" s="3" t="s">
        <v>1111</v>
      </c>
      <c r="E5" s="8" t="s">
        <v>1416</v>
      </c>
      <c r="F5" s="6" t="s">
        <v>1415</v>
      </c>
      <c r="G5" s="8"/>
      <c r="H5" t="s">
        <v>650</v>
      </c>
      <c r="I5" t="s">
        <v>788</v>
      </c>
      <c r="J5">
        <v>7</v>
      </c>
    </row>
    <row r="6" spans="1:14" x14ac:dyDescent="0.35">
      <c r="A6" s="3" t="s">
        <v>482</v>
      </c>
      <c r="B6" s="3" t="s">
        <v>483</v>
      </c>
      <c r="C6" s="3" t="s">
        <v>1303</v>
      </c>
      <c r="D6" s="3" t="s">
        <v>1396</v>
      </c>
      <c r="E6" s="8" t="s">
        <v>1416</v>
      </c>
      <c r="F6" s="6" t="s">
        <v>1415</v>
      </c>
      <c r="G6" s="8"/>
      <c r="H6" t="s">
        <v>629</v>
      </c>
      <c r="I6" t="s">
        <v>789</v>
      </c>
      <c r="J6">
        <v>6</v>
      </c>
    </row>
    <row r="7" spans="1:14" x14ac:dyDescent="0.35">
      <c r="A7" s="3" t="s">
        <v>484</v>
      </c>
      <c r="B7" s="3" t="s">
        <v>485</v>
      </c>
      <c r="C7" s="3" t="s">
        <v>1304</v>
      </c>
      <c r="D7" s="3" t="s">
        <v>1396</v>
      </c>
      <c r="E7" s="8" t="s">
        <v>1416</v>
      </c>
      <c r="F7" s="6" t="s">
        <v>1415</v>
      </c>
      <c r="G7" s="8"/>
      <c r="H7" t="s">
        <v>449</v>
      </c>
      <c r="I7" t="s">
        <v>790</v>
      </c>
      <c r="J7">
        <v>5</v>
      </c>
    </row>
    <row r="8" spans="1:14" x14ac:dyDescent="0.35">
      <c r="A8" s="3" t="s">
        <v>487</v>
      </c>
      <c r="B8" s="3" t="s">
        <v>488</v>
      </c>
      <c r="C8" s="3" t="s">
        <v>1305</v>
      </c>
      <c r="D8" s="3" t="s">
        <v>1396</v>
      </c>
      <c r="E8" s="8" t="s">
        <v>1416</v>
      </c>
      <c r="F8" s="6" t="s">
        <v>1415</v>
      </c>
      <c r="G8" s="8"/>
      <c r="H8" t="s">
        <v>651</v>
      </c>
      <c r="I8" t="s">
        <v>791</v>
      </c>
      <c r="J8">
        <v>5</v>
      </c>
    </row>
    <row r="9" spans="1:14" x14ac:dyDescent="0.35">
      <c r="A9" s="3" t="s">
        <v>490</v>
      </c>
      <c r="B9" s="3" t="s">
        <v>491</v>
      </c>
      <c r="C9" s="3" t="s">
        <v>627</v>
      </c>
      <c r="D9" s="3" t="s">
        <v>1111</v>
      </c>
      <c r="E9" s="8" t="s">
        <v>1416</v>
      </c>
      <c r="F9" s="6" t="s">
        <v>1415</v>
      </c>
      <c r="G9" s="8"/>
      <c r="H9" t="s">
        <v>631</v>
      </c>
      <c r="I9" t="s">
        <v>792</v>
      </c>
      <c r="J9">
        <v>5</v>
      </c>
    </row>
    <row r="10" spans="1:14" x14ac:dyDescent="0.35">
      <c r="A10" s="3" t="s">
        <v>493</v>
      </c>
      <c r="B10" s="3" t="s">
        <v>494</v>
      </c>
      <c r="C10" s="3" t="s">
        <v>1306</v>
      </c>
      <c r="D10" s="3" t="s">
        <v>1396</v>
      </c>
      <c r="E10" s="8" t="s">
        <v>1416</v>
      </c>
      <c r="F10" s="6" t="s">
        <v>1415</v>
      </c>
      <c r="G10" s="8"/>
      <c r="H10" t="s">
        <v>468</v>
      </c>
      <c r="I10" t="s">
        <v>793</v>
      </c>
      <c r="J10">
        <v>3</v>
      </c>
    </row>
    <row r="11" spans="1:14" x14ac:dyDescent="0.35">
      <c r="A11" s="3" t="s">
        <v>496</v>
      </c>
      <c r="B11" s="3" t="s">
        <v>497</v>
      </c>
      <c r="C11" s="3" t="s">
        <v>1307</v>
      </c>
      <c r="D11" s="3" t="s">
        <v>1396</v>
      </c>
      <c r="E11" s="8" t="s">
        <v>1416</v>
      </c>
      <c r="F11" s="6" t="s">
        <v>1415</v>
      </c>
      <c r="G11" s="8"/>
      <c r="H11" t="s">
        <v>461</v>
      </c>
      <c r="I11" t="s">
        <v>794</v>
      </c>
      <c r="J11">
        <v>3</v>
      </c>
    </row>
    <row r="12" spans="1:14" x14ac:dyDescent="0.35">
      <c r="A12" s="3" t="s">
        <v>498</v>
      </c>
      <c r="B12" s="3" t="s">
        <v>499</v>
      </c>
      <c r="C12" s="3" t="s">
        <v>1308</v>
      </c>
      <c r="D12" s="3" t="s">
        <v>1396</v>
      </c>
      <c r="E12" s="8" t="s">
        <v>1416</v>
      </c>
      <c r="F12" s="6" t="s">
        <v>1415</v>
      </c>
      <c r="G12" s="8"/>
      <c r="H12" t="s">
        <v>652</v>
      </c>
      <c r="I12" t="s">
        <v>653</v>
      </c>
      <c r="J12">
        <v>2</v>
      </c>
    </row>
    <row r="13" spans="1:14" x14ac:dyDescent="0.35">
      <c r="A13" s="3" t="s">
        <v>501</v>
      </c>
      <c r="B13" s="3" t="s">
        <v>502</v>
      </c>
      <c r="C13" s="3" t="s">
        <v>1309</v>
      </c>
      <c r="D13" s="3" t="s">
        <v>1396</v>
      </c>
      <c r="E13" s="8" t="s">
        <v>1416</v>
      </c>
      <c r="F13" s="6" t="s">
        <v>1415</v>
      </c>
      <c r="G13" s="8"/>
      <c r="H13" t="s">
        <v>655</v>
      </c>
      <c r="I13" t="s">
        <v>795</v>
      </c>
      <c r="J13">
        <v>2</v>
      </c>
    </row>
    <row r="14" spans="1:14" x14ac:dyDescent="0.35">
      <c r="A14" s="3" t="s">
        <v>504</v>
      </c>
      <c r="B14" s="3" t="s">
        <v>505</v>
      </c>
      <c r="C14" s="3" t="s">
        <v>1310</v>
      </c>
      <c r="D14" s="3" t="s">
        <v>1396</v>
      </c>
      <c r="E14" s="8" t="s">
        <v>1416</v>
      </c>
      <c r="F14" s="6" t="s">
        <v>1415</v>
      </c>
      <c r="G14" s="8"/>
      <c r="H14" t="s">
        <v>656</v>
      </c>
      <c r="I14" t="s">
        <v>501</v>
      </c>
      <c r="J14">
        <v>1</v>
      </c>
    </row>
    <row r="15" spans="1:14" x14ac:dyDescent="0.35">
      <c r="A15" s="3" t="s">
        <v>506</v>
      </c>
      <c r="B15" s="3" t="s">
        <v>507</v>
      </c>
      <c r="C15" s="3" t="s">
        <v>1311</v>
      </c>
      <c r="D15" s="3" t="s">
        <v>1396</v>
      </c>
      <c r="E15" s="8" t="s">
        <v>1416</v>
      </c>
      <c r="F15" s="6" t="s">
        <v>1415</v>
      </c>
      <c r="G15" s="8"/>
      <c r="H15" t="s">
        <v>658</v>
      </c>
      <c r="I15" t="s">
        <v>796</v>
      </c>
      <c r="J15">
        <v>2</v>
      </c>
    </row>
    <row r="16" spans="1:14" x14ac:dyDescent="0.35">
      <c r="A16" s="3" t="s">
        <v>509</v>
      </c>
      <c r="B16" s="3" t="s">
        <v>510</v>
      </c>
      <c r="C16" s="3" t="s">
        <v>445</v>
      </c>
      <c r="D16" s="3" t="s">
        <v>1111</v>
      </c>
      <c r="E16" s="8" t="s">
        <v>1416</v>
      </c>
      <c r="F16" s="6" t="s">
        <v>1415</v>
      </c>
      <c r="G16" s="8"/>
      <c r="H16" t="s">
        <v>760</v>
      </c>
      <c r="I16" t="s">
        <v>797</v>
      </c>
      <c r="J16">
        <v>2</v>
      </c>
    </row>
    <row r="17" spans="1:10" x14ac:dyDescent="0.35">
      <c r="A17" s="3" t="s">
        <v>512</v>
      </c>
      <c r="B17" s="3" t="s">
        <v>513</v>
      </c>
      <c r="C17" s="3" t="s">
        <v>445</v>
      </c>
      <c r="D17" s="3" t="s">
        <v>1111</v>
      </c>
      <c r="E17" s="8" t="s">
        <v>1416</v>
      </c>
      <c r="F17" s="6" t="s">
        <v>1415</v>
      </c>
      <c r="G17" s="8"/>
      <c r="H17" t="s">
        <v>627</v>
      </c>
      <c r="I17" t="s">
        <v>798</v>
      </c>
      <c r="J17">
        <v>2</v>
      </c>
    </row>
    <row r="18" spans="1:10" x14ac:dyDescent="0.35">
      <c r="A18" s="3" t="s">
        <v>515</v>
      </c>
      <c r="B18" s="3" t="s">
        <v>516</v>
      </c>
      <c r="C18" s="3" t="s">
        <v>628</v>
      </c>
      <c r="D18" s="3" t="s">
        <v>1111</v>
      </c>
      <c r="E18" s="8" t="s">
        <v>1416</v>
      </c>
      <c r="F18" s="6" t="s">
        <v>1415</v>
      </c>
      <c r="G18" s="8"/>
      <c r="H18" t="s">
        <v>657</v>
      </c>
      <c r="I18" t="s">
        <v>799</v>
      </c>
      <c r="J18">
        <v>2</v>
      </c>
    </row>
    <row r="19" spans="1:10" x14ac:dyDescent="0.35">
      <c r="A19" s="3" t="s">
        <v>518</v>
      </c>
      <c r="B19" s="3" t="s">
        <v>519</v>
      </c>
      <c r="C19" s="3" t="s">
        <v>461</v>
      </c>
      <c r="D19" s="3" t="s">
        <v>1111</v>
      </c>
      <c r="E19" s="8" t="s">
        <v>1416</v>
      </c>
      <c r="F19" s="6" t="s">
        <v>1415</v>
      </c>
      <c r="G19" s="8"/>
      <c r="H19" t="s">
        <v>445</v>
      </c>
      <c r="I19" t="s">
        <v>654</v>
      </c>
      <c r="J19">
        <v>2</v>
      </c>
    </row>
    <row r="20" spans="1:10" x14ac:dyDescent="0.35">
      <c r="A20" s="3" t="s">
        <v>521</v>
      </c>
      <c r="B20" s="3" t="s">
        <v>522</v>
      </c>
      <c r="C20" s="3" t="s">
        <v>446</v>
      </c>
      <c r="D20" s="3" t="s">
        <v>1111</v>
      </c>
      <c r="E20" s="8" t="s">
        <v>1416</v>
      </c>
      <c r="F20" s="6" t="s">
        <v>1415</v>
      </c>
      <c r="G20" s="8"/>
      <c r="H20" t="s">
        <v>761</v>
      </c>
      <c r="I20" t="s">
        <v>567</v>
      </c>
      <c r="J20">
        <v>1</v>
      </c>
    </row>
    <row r="21" spans="1:10" x14ac:dyDescent="0.35">
      <c r="A21" s="3" t="s">
        <v>523</v>
      </c>
      <c r="B21" s="3" t="s">
        <v>524</v>
      </c>
      <c r="C21" s="3" t="s">
        <v>449</v>
      </c>
      <c r="D21" s="3" t="s">
        <v>1111</v>
      </c>
      <c r="E21" s="8" t="s">
        <v>1416</v>
      </c>
      <c r="F21" s="6" t="s">
        <v>1415</v>
      </c>
      <c r="G21" s="8"/>
      <c r="H21" t="s">
        <v>669</v>
      </c>
      <c r="I21" t="s">
        <v>594</v>
      </c>
      <c r="J21">
        <v>1</v>
      </c>
    </row>
    <row r="22" spans="1:10" x14ac:dyDescent="0.35">
      <c r="A22" s="3" t="s">
        <v>526</v>
      </c>
      <c r="B22" s="3" t="s">
        <v>527</v>
      </c>
      <c r="C22" s="3" t="s">
        <v>1312</v>
      </c>
      <c r="D22" s="3" t="s">
        <v>1396</v>
      </c>
      <c r="E22" s="8" t="s">
        <v>1416</v>
      </c>
      <c r="F22" s="6" t="s">
        <v>1415</v>
      </c>
      <c r="G22" s="8"/>
      <c r="H22" t="s">
        <v>662</v>
      </c>
      <c r="I22" t="s">
        <v>526</v>
      </c>
      <c r="J22">
        <v>1</v>
      </c>
    </row>
    <row r="23" spans="1:10" x14ac:dyDescent="0.35">
      <c r="A23" s="3" t="s">
        <v>529</v>
      </c>
      <c r="B23" s="3" t="s">
        <v>530</v>
      </c>
      <c r="C23" s="3" t="s">
        <v>628</v>
      </c>
      <c r="D23" s="3" t="s">
        <v>1111</v>
      </c>
      <c r="E23" s="8" t="s">
        <v>1416</v>
      </c>
      <c r="F23" s="6" t="s">
        <v>1415</v>
      </c>
      <c r="G23" s="8"/>
      <c r="H23" t="s">
        <v>446</v>
      </c>
      <c r="I23" t="s">
        <v>521</v>
      </c>
      <c r="J23">
        <v>1</v>
      </c>
    </row>
    <row r="24" spans="1:10" x14ac:dyDescent="0.35">
      <c r="A24" s="3" t="s">
        <v>532</v>
      </c>
      <c r="B24" s="3" t="s">
        <v>533</v>
      </c>
      <c r="C24" s="3" t="s">
        <v>626</v>
      </c>
      <c r="D24" s="3" t="s">
        <v>1111</v>
      </c>
      <c r="E24" s="8" t="s">
        <v>1416</v>
      </c>
      <c r="F24" s="6" t="s">
        <v>1415</v>
      </c>
      <c r="G24" s="8"/>
      <c r="H24" t="s">
        <v>660</v>
      </c>
      <c r="I24" t="s">
        <v>477</v>
      </c>
      <c r="J24">
        <v>1</v>
      </c>
    </row>
    <row r="25" spans="1:10" x14ac:dyDescent="0.35">
      <c r="A25" s="3" t="s">
        <v>535</v>
      </c>
      <c r="B25" s="3" t="s">
        <v>536</v>
      </c>
      <c r="C25" s="3" t="s">
        <v>467</v>
      </c>
      <c r="D25" s="3" t="s">
        <v>1111</v>
      </c>
      <c r="E25" s="8" t="s">
        <v>1416</v>
      </c>
      <c r="F25" s="6" t="s">
        <v>1415</v>
      </c>
      <c r="G25" s="8"/>
      <c r="H25" t="s">
        <v>668</v>
      </c>
      <c r="I25" t="s">
        <v>590</v>
      </c>
      <c r="J25">
        <v>1</v>
      </c>
    </row>
    <row r="26" spans="1:10" x14ac:dyDescent="0.35">
      <c r="A26" s="3" t="s">
        <v>537</v>
      </c>
      <c r="B26" s="3" t="s">
        <v>538</v>
      </c>
      <c r="C26" s="3" t="s">
        <v>629</v>
      </c>
      <c r="D26" s="3" t="s">
        <v>1111</v>
      </c>
      <c r="E26" s="8" t="s">
        <v>1416</v>
      </c>
      <c r="F26" s="6" t="s">
        <v>1415</v>
      </c>
      <c r="G26" s="8"/>
      <c r="H26" t="s">
        <v>667</v>
      </c>
      <c r="I26" t="s">
        <v>587</v>
      </c>
      <c r="J26">
        <v>1</v>
      </c>
    </row>
    <row r="27" spans="1:10" x14ac:dyDescent="0.35">
      <c r="A27" s="3" t="s">
        <v>539</v>
      </c>
      <c r="B27" s="3" t="s">
        <v>540</v>
      </c>
      <c r="C27" s="3" t="s">
        <v>468</v>
      </c>
      <c r="D27" s="3" t="s">
        <v>1111</v>
      </c>
      <c r="E27" s="8" t="s">
        <v>1416</v>
      </c>
      <c r="F27" s="6" t="s">
        <v>1415</v>
      </c>
      <c r="G27" s="8"/>
      <c r="H27" t="s">
        <v>661</v>
      </c>
      <c r="I27" t="s">
        <v>482</v>
      </c>
      <c r="J27">
        <v>1</v>
      </c>
    </row>
    <row r="28" spans="1:10" x14ac:dyDescent="0.35">
      <c r="A28" s="3" t="s">
        <v>541</v>
      </c>
      <c r="B28" s="3" t="s">
        <v>542</v>
      </c>
      <c r="C28" s="3" t="s">
        <v>626</v>
      </c>
      <c r="D28" s="3" t="s">
        <v>1111</v>
      </c>
      <c r="E28" s="8" t="s">
        <v>1416</v>
      </c>
      <c r="F28" s="6" t="s">
        <v>1415</v>
      </c>
      <c r="G28" s="8"/>
      <c r="H28" t="s">
        <v>664</v>
      </c>
      <c r="I28" t="s">
        <v>550</v>
      </c>
      <c r="J28">
        <v>1</v>
      </c>
    </row>
    <row r="29" spans="1:10" x14ac:dyDescent="0.35">
      <c r="A29" s="3" t="s">
        <v>544</v>
      </c>
      <c r="B29" s="3" t="s">
        <v>545</v>
      </c>
      <c r="C29" s="3" t="s">
        <v>465</v>
      </c>
      <c r="D29" s="3" t="s">
        <v>1111</v>
      </c>
      <c r="E29" s="8" t="s">
        <v>1416</v>
      </c>
      <c r="F29" s="6" t="s">
        <v>1415</v>
      </c>
      <c r="G29" s="8"/>
      <c r="H29" t="s">
        <v>663</v>
      </c>
      <c r="I29" t="s">
        <v>546</v>
      </c>
      <c r="J29">
        <v>1</v>
      </c>
    </row>
    <row r="30" spans="1:10" x14ac:dyDescent="0.35">
      <c r="A30" s="3" t="s">
        <v>546</v>
      </c>
      <c r="B30" s="3" t="s">
        <v>547</v>
      </c>
      <c r="C30" s="3" t="s">
        <v>1313</v>
      </c>
      <c r="D30" s="3" t="s">
        <v>1396</v>
      </c>
      <c r="E30" s="8" t="s">
        <v>1416</v>
      </c>
      <c r="F30" s="6" t="s">
        <v>1415</v>
      </c>
      <c r="G30" s="8"/>
      <c r="H30" t="s">
        <v>659</v>
      </c>
      <c r="I30" t="s">
        <v>477</v>
      </c>
      <c r="J30">
        <v>1</v>
      </c>
    </row>
    <row r="31" spans="1:10" x14ac:dyDescent="0.35">
      <c r="A31" s="3" t="s">
        <v>548</v>
      </c>
      <c r="B31" s="3" t="s">
        <v>549</v>
      </c>
      <c r="C31" s="3" t="s">
        <v>1307</v>
      </c>
      <c r="D31" s="3" t="s">
        <v>1396</v>
      </c>
      <c r="E31" s="8" t="s">
        <v>1416</v>
      </c>
      <c r="F31" s="6" t="s">
        <v>1415</v>
      </c>
      <c r="G31" s="8"/>
      <c r="H31" t="s">
        <v>666</v>
      </c>
      <c r="I31" t="s">
        <v>567</v>
      </c>
      <c r="J31">
        <v>1</v>
      </c>
    </row>
    <row r="32" spans="1:10" x14ac:dyDescent="0.35">
      <c r="A32" s="3" t="s">
        <v>550</v>
      </c>
      <c r="B32" s="3" t="s">
        <v>551</v>
      </c>
      <c r="C32" s="3" t="s">
        <v>1314</v>
      </c>
      <c r="D32" s="3" t="s">
        <v>1396</v>
      </c>
      <c r="E32" s="8" t="s">
        <v>1416</v>
      </c>
      <c r="F32" s="6" t="s">
        <v>1415</v>
      </c>
      <c r="G32" s="8"/>
      <c r="H32" t="s">
        <v>670</v>
      </c>
      <c r="I32" t="s">
        <v>597</v>
      </c>
      <c r="J32">
        <v>1</v>
      </c>
    </row>
    <row r="33" spans="1:10" x14ac:dyDescent="0.35">
      <c r="A33" s="3" t="s">
        <v>553</v>
      </c>
      <c r="B33" s="3" t="s">
        <v>554</v>
      </c>
      <c r="C33" s="3" t="s">
        <v>1315</v>
      </c>
      <c r="D33" s="3" t="s">
        <v>1396</v>
      </c>
      <c r="E33" s="8" t="s">
        <v>1416</v>
      </c>
      <c r="F33" s="6" t="s">
        <v>1415</v>
      </c>
      <c r="G33" s="8"/>
      <c r="H33" t="s">
        <v>465</v>
      </c>
      <c r="I33" t="s">
        <v>544</v>
      </c>
      <c r="J33">
        <v>1</v>
      </c>
    </row>
    <row r="34" spans="1:10" x14ac:dyDescent="0.35">
      <c r="A34" s="3" t="s">
        <v>556</v>
      </c>
      <c r="B34" s="3" t="s">
        <v>558</v>
      </c>
      <c r="C34" s="3" t="s">
        <v>444</v>
      </c>
      <c r="D34" s="3" t="s">
        <v>1111</v>
      </c>
      <c r="E34" s="8" t="s">
        <v>1416</v>
      </c>
      <c r="F34" s="6" t="s">
        <v>1415</v>
      </c>
      <c r="G34" s="8"/>
      <c r="H34" t="s">
        <v>665</v>
      </c>
      <c r="I34" t="s">
        <v>557</v>
      </c>
      <c r="J34">
        <v>1</v>
      </c>
    </row>
    <row r="35" spans="1:10" x14ac:dyDescent="0.35">
      <c r="A35" s="3" t="s">
        <v>557</v>
      </c>
      <c r="B35" s="3" t="s">
        <v>560</v>
      </c>
      <c r="C35" s="3" t="s">
        <v>1316</v>
      </c>
      <c r="D35" s="3" t="s">
        <v>1396</v>
      </c>
      <c r="E35" s="8" t="s">
        <v>1416</v>
      </c>
      <c r="F35" s="6" t="s">
        <v>1415</v>
      </c>
      <c r="G35" s="8"/>
      <c r="H35" t="s">
        <v>628</v>
      </c>
      <c r="I35" t="s">
        <v>581</v>
      </c>
      <c r="J35">
        <v>1</v>
      </c>
    </row>
    <row r="36" spans="1:10" x14ac:dyDescent="0.35">
      <c r="A36" s="3" t="s">
        <v>559</v>
      </c>
      <c r="B36" s="3" t="s">
        <v>554</v>
      </c>
      <c r="C36" s="3" t="s">
        <v>1315</v>
      </c>
      <c r="D36" s="3" t="s">
        <v>1396</v>
      </c>
      <c r="E36" s="8" t="s">
        <v>1416</v>
      </c>
      <c r="F36" s="6" t="s">
        <v>1415</v>
      </c>
      <c r="G36" s="8"/>
      <c r="H36" t="s">
        <v>467</v>
      </c>
      <c r="I36" t="s">
        <v>535</v>
      </c>
      <c r="J36">
        <v>1</v>
      </c>
    </row>
    <row r="37" spans="1:10" x14ac:dyDescent="0.35">
      <c r="A37" s="3" t="s">
        <v>562</v>
      </c>
      <c r="B37" s="3" t="s">
        <v>564</v>
      </c>
      <c r="C37" s="3" t="s">
        <v>629</v>
      </c>
      <c r="D37" s="3" t="s">
        <v>1111</v>
      </c>
      <c r="E37" s="8" t="s">
        <v>1416</v>
      </c>
      <c r="F37" s="6" t="s">
        <v>1415</v>
      </c>
      <c r="G37" s="8"/>
      <c r="H37" t="s">
        <v>448</v>
      </c>
      <c r="I37" t="s">
        <v>482</v>
      </c>
      <c r="J37">
        <v>1</v>
      </c>
    </row>
    <row r="38" spans="1:10" x14ac:dyDescent="0.35">
      <c r="A38" s="3" t="s">
        <v>563</v>
      </c>
      <c r="B38" s="3" t="s">
        <v>566</v>
      </c>
      <c r="C38" s="3" t="s">
        <v>1317</v>
      </c>
      <c r="D38" s="3" t="s">
        <v>1396</v>
      </c>
      <c r="E38" s="8" t="s">
        <v>1416</v>
      </c>
      <c r="F38" s="6" t="s">
        <v>1415</v>
      </c>
      <c r="G38" s="8"/>
      <c r="H38" s="3"/>
      <c r="I38" s="3"/>
      <c r="J38" s="4"/>
    </row>
    <row r="39" spans="1:10" x14ac:dyDescent="0.35">
      <c r="A39" s="3" t="s">
        <v>565</v>
      </c>
      <c r="B39" s="3" t="s">
        <v>568</v>
      </c>
      <c r="C39" s="3" t="s">
        <v>626</v>
      </c>
      <c r="D39" s="3" t="s">
        <v>1111</v>
      </c>
      <c r="E39" s="8" t="s">
        <v>1416</v>
      </c>
      <c r="F39" s="6" t="s">
        <v>1415</v>
      </c>
      <c r="G39" s="8"/>
      <c r="H39" s="3"/>
      <c r="I39" s="3"/>
      <c r="J39" s="4"/>
    </row>
    <row r="40" spans="1:10" x14ac:dyDescent="0.35">
      <c r="A40" s="3" t="s">
        <v>567</v>
      </c>
      <c r="B40" s="3" t="s">
        <v>570</v>
      </c>
      <c r="C40" s="3" t="s">
        <v>1318</v>
      </c>
      <c r="D40" s="3" t="s">
        <v>1396</v>
      </c>
      <c r="E40" s="8" t="s">
        <v>1416</v>
      </c>
      <c r="F40" s="6" t="s">
        <v>1415</v>
      </c>
      <c r="G40" s="8"/>
      <c r="H40" s="3"/>
      <c r="I40" s="3"/>
      <c r="J40" s="4"/>
    </row>
    <row r="41" spans="1:10" x14ac:dyDescent="0.35">
      <c r="A41" s="3" t="s">
        <v>569</v>
      </c>
      <c r="B41" s="3" t="s">
        <v>573</v>
      </c>
      <c r="C41" s="3" t="s">
        <v>1319</v>
      </c>
      <c r="D41" s="3" t="s">
        <v>1396</v>
      </c>
      <c r="E41" s="8" t="s">
        <v>1416</v>
      </c>
      <c r="F41" s="6" t="s">
        <v>1415</v>
      </c>
      <c r="G41" s="8"/>
    </row>
    <row r="42" spans="1:10" x14ac:dyDescent="0.35">
      <c r="A42" s="3" t="s">
        <v>572</v>
      </c>
      <c r="B42" s="3" t="s">
        <v>575</v>
      </c>
      <c r="C42" s="3" t="s">
        <v>1320</v>
      </c>
      <c r="D42" s="3" t="s">
        <v>1396</v>
      </c>
      <c r="E42" s="8" t="s">
        <v>1416</v>
      </c>
      <c r="F42" s="6" t="s">
        <v>1415</v>
      </c>
      <c r="G42" s="8"/>
    </row>
    <row r="43" spans="1:10" x14ac:dyDescent="0.35">
      <c r="A43" s="3" t="s">
        <v>574</v>
      </c>
      <c r="B43" s="3" t="s">
        <v>578</v>
      </c>
      <c r="C43" s="3" t="s">
        <v>1331</v>
      </c>
      <c r="D43" s="3" t="s">
        <v>1396</v>
      </c>
      <c r="E43" s="8" t="s">
        <v>1416</v>
      </c>
      <c r="F43" s="6" t="s">
        <v>1415</v>
      </c>
      <c r="G43" s="8"/>
      <c r="H43" s="3"/>
    </row>
    <row r="44" spans="1:10" x14ac:dyDescent="0.35">
      <c r="A44" s="3" t="s">
        <v>577</v>
      </c>
      <c r="B44" s="3" t="s">
        <v>580</v>
      </c>
      <c r="C44" s="3" t="s">
        <v>1321</v>
      </c>
      <c r="D44" s="3" t="s">
        <v>1396</v>
      </c>
      <c r="E44" s="8" t="s">
        <v>1416</v>
      </c>
      <c r="F44" s="6" t="s">
        <v>1415</v>
      </c>
      <c r="G44" s="8"/>
      <c r="H44" s="3"/>
    </row>
    <row r="45" spans="1:10" x14ac:dyDescent="0.35">
      <c r="A45" s="3" t="s">
        <v>579</v>
      </c>
      <c r="B45" s="3" t="s">
        <v>582</v>
      </c>
      <c r="C45" s="3" t="s">
        <v>1322</v>
      </c>
      <c r="D45" s="3" t="s">
        <v>1396</v>
      </c>
      <c r="E45" s="8" t="s">
        <v>1416</v>
      </c>
      <c r="F45" s="6" t="s">
        <v>1415</v>
      </c>
      <c r="G45" s="8"/>
      <c r="H45" s="3"/>
    </row>
    <row r="46" spans="1:10" x14ac:dyDescent="0.35">
      <c r="A46" s="3" t="s">
        <v>581</v>
      </c>
      <c r="B46" s="3" t="s">
        <v>584</v>
      </c>
      <c r="C46" s="3" t="s">
        <v>628</v>
      </c>
      <c r="D46" s="3" t="s">
        <v>1111</v>
      </c>
      <c r="E46" s="8" t="s">
        <v>1416</v>
      </c>
      <c r="F46" s="6" t="s">
        <v>1415</v>
      </c>
      <c r="G46" s="8"/>
      <c r="H46" s="3"/>
    </row>
    <row r="47" spans="1:10" x14ac:dyDescent="0.35">
      <c r="A47" s="3" t="s">
        <v>583</v>
      </c>
      <c r="B47" s="3" t="s">
        <v>586</v>
      </c>
      <c r="C47" s="3" t="s">
        <v>1323</v>
      </c>
      <c r="D47" s="3" t="s">
        <v>1396</v>
      </c>
      <c r="E47" s="8" t="s">
        <v>1416</v>
      </c>
      <c r="F47" s="6" t="s">
        <v>1415</v>
      </c>
      <c r="G47" s="8"/>
      <c r="H47" s="3"/>
    </row>
    <row r="48" spans="1:10" x14ac:dyDescent="0.35">
      <c r="A48" s="3" t="s">
        <v>585</v>
      </c>
      <c r="B48" s="3" t="s">
        <v>588</v>
      </c>
      <c r="C48" s="3" t="s">
        <v>1324</v>
      </c>
      <c r="D48" s="3" t="s">
        <v>1396</v>
      </c>
      <c r="E48" s="8" t="s">
        <v>1416</v>
      </c>
      <c r="F48" s="6" t="s">
        <v>1415</v>
      </c>
      <c r="G48" s="8"/>
      <c r="H48" s="3"/>
    </row>
    <row r="49" spans="1:8" x14ac:dyDescent="0.35">
      <c r="A49" s="3" t="s">
        <v>587</v>
      </c>
      <c r="B49" s="3" t="s">
        <v>591</v>
      </c>
      <c r="C49" s="3" t="s">
        <v>1325</v>
      </c>
      <c r="D49" s="3" t="s">
        <v>1396</v>
      </c>
      <c r="E49" s="8" t="s">
        <v>1416</v>
      </c>
      <c r="F49" s="6" t="s">
        <v>1415</v>
      </c>
      <c r="G49" s="8"/>
      <c r="H49" s="3"/>
    </row>
    <row r="50" spans="1:8" x14ac:dyDescent="0.35">
      <c r="A50" s="3" t="s">
        <v>590</v>
      </c>
      <c r="B50" s="3" t="s">
        <v>593</v>
      </c>
      <c r="C50" s="3" t="s">
        <v>1326</v>
      </c>
      <c r="D50" s="3" t="s">
        <v>1396</v>
      </c>
      <c r="E50" s="8" t="s">
        <v>1416</v>
      </c>
      <c r="F50" s="6" t="s">
        <v>1415</v>
      </c>
      <c r="G50" s="8"/>
      <c r="H50" s="3"/>
    </row>
    <row r="51" spans="1:8" x14ac:dyDescent="0.35">
      <c r="A51" s="3" t="s">
        <v>592</v>
      </c>
      <c r="B51" s="3" t="s">
        <v>595</v>
      </c>
      <c r="C51" s="3" t="s">
        <v>1327</v>
      </c>
      <c r="D51" s="3" t="s">
        <v>1396</v>
      </c>
      <c r="E51" s="8" t="s">
        <v>1416</v>
      </c>
      <c r="F51" s="6" t="s">
        <v>1415</v>
      </c>
      <c r="G51" s="8"/>
      <c r="H51" s="3"/>
    </row>
    <row r="52" spans="1:8" x14ac:dyDescent="0.35">
      <c r="A52" s="3" t="s">
        <v>594</v>
      </c>
      <c r="B52" s="3" t="s">
        <v>598</v>
      </c>
      <c r="C52" s="3" t="s">
        <v>1328</v>
      </c>
      <c r="D52" s="3" t="s">
        <v>1396</v>
      </c>
      <c r="E52" s="8" t="s">
        <v>1416</v>
      </c>
      <c r="F52" s="6" t="s">
        <v>1415</v>
      </c>
      <c r="G52" s="8"/>
      <c r="H52" s="3"/>
    </row>
    <row r="53" spans="1:8" x14ac:dyDescent="0.35">
      <c r="A53" s="3" t="s">
        <v>597</v>
      </c>
      <c r="B53" s="3" t="s">
        <v>601</v>
      </c>
      <c r="C53" s="3" t="s">
        <v>1329</v>
      </c>
      <c r="D53" s="3" t="s">
        <v>1396</v>
      </c>
      <c r="E53" s="8" t="s">
        <v>1416</v>
      </c>
      <c r="F53" s="6" t="s">
        <v>1415</v>
      </c>
      <c r="G53" s="8"/>
      <c r="H53" s="3"/>
    </row>
    <row r="54" spans="1:8" x14ac:dyDescent="0.35">
      <c r="A54" s="3" t="s">
        <v>600</v>
      </c>
      <c r="B54" s="3" t="s">
        <v>603</v>
      </c>
      <c r="C54" s="3" t="s">
        <v>444</v>
      </c>
      <c r="D54" s="3" t="s">
        <v>1111</v>
      </c>
      <c r="E54" s="8" t="s">
        <v>1416</v>
      </c>
      <c r="F54" s="6" t="s">
        <v>1415</v>
      </c>
      <c r="G54" s="8"/>
      <c r="H54" s="3"/>
    </row>
    <row r="55" spans="1:8" x14ac:dyDescent="0.35">
      <c r="A55" s="3" t="s">
        <v>602</v>
      </c>
      <c r="B55" s="3" t="s">
        <v>605</v>
      </c>
      <c r="C55" s="3" t="s">
        <v>1304</v>
      </c>
      <c r="D55" s="3" t="s">
        <v>1396</v>
      </c>
      <c r="E55" s="8" t="s">
        <v>1416</v>
      </c>
      <c r="F55" s="6" t="s">
        <v>1415</v>
      </c>
      <c r="G55" s="8"/>
      <c r="H55" s="3"/>
    </row>
    <row r="56" spans="1:8" x14ac:dyDescent="0.35">
      <c r="A56" s="3" t="s">
        <v>604</v>
      </c>
      <c r="B56" s="3" t="s">
        <v>607</v>
      </c>
      <c r="C56" s="3" t="s">
        <v>1330</v>
      </c>
      <c r="D56" s="3" t="s">
        <v>1396</v>
      </c>
      <c r="E56" s="8" t="s">
        <v>1416</v>
      </c>
      <c r="F56" s="6" t="s">
        <v>1415</v>
      </c>
      <c r="G56" s="8"/>
      <c r="H56" s="3"/>
    </row>
    <row r="57" spans="1:8" x14ac:dyDescent="0.35">
      <c r="A57" s="3" t="s">
        <v>606</v>
      </c>
      <c r="B57" s="3" t="s">
        <v>609</v>
      </c>
      <c r="C57" s="3" t="s">
        <v>626</v>
      </c>
      <c r="D57" s="3" t="s">
        <v>1111</v>
      </c>
      <c r="E57" s="8" t="s">
        <v>1416</v>
      </c>
      <c r="F57" s="6" t="s">
        <v>1415</v>
      </c>
      <c r="G57" s="8"/>
      <c r="H57" s="3"/>
    </row>
    <row r="58" spans="1:8" x14ac:dyDescent="0.35">
      <c r="A58" s="3" t="s">
        <v>608</v>
      </c>
      <c r="B58" s="3" t="s">
        <v>758</v>
      </c>
      <c r="C58" s="3" t="s">
        <v>760</v>
      </c>
      <c r="D58" s="3" t="s">
        <v>1111</v>
      </c>
      <c r="E58" s="8" t="s">
        <v>1416</v>
      </c>
      <c r="F58" s="6" t="s">
        <v>1415</v>
      </c>
      <c r="G58" s="8"/>
      <c r="H58" s="3"/>
    </row>
    <row r="59" spans="1:8" x14ac:dyDescent="0.35">
      <c r="A59" s="3" t="s">
        <v>735</v>
      </c>
      <c r="B59" s="3" t="s">
        <v>759</v>
      </c>
      <c r="C59" s="3" t="s">
        <v>461</v>
      </c>
      <c r="D59" s="3" t="s">
        <v>1111</v>
      </c>
      <c r="E59" s="8" t="s">
        <v>1416</v>
      </c>
      <c r="F59" s="6" t="s">
        <v>1415</v>
      </c>
      <c r="G59" s="8"/>
      <c r="H59" s="3"/>
    </row>
    <row r="61" spans="1:8" x14ac:dyDescent="0.35">
      <c r="C61" s="9"/>
      <c r="D61" s="1"/>
    </row>
    <row r="62" spans="1:8" x14ac:dyDescent="0.35">
      <c r="C62" s="9"/>
      <c r="D62" s="1"/>
    </row>
  </sheetData>
  <autoFilter ref="A1:F59" xr:uid="{7765684D-B564-404F-81D1-F9DF9B6B6C2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160C4-9D71-455D-93D6-7128EA4CB684}">
  <sheetPr>
    <tabColor rgb="FFFFFF00"/>
  </sheetPr>
  <dimension ref="A1:O59"/>
  <sheetViews>
    <sheetView topLeftCell="A42" zoomScale="90" zoomScaleNormal="90" workbookViewId="0">
      <selection activeCell="D1" sqref="D1:D59"/>
    </sheetView>
  </sheetViews>
  <sheetFormatPr defaultRowHeight="14.5" x14ac:dyDescent="0.35"/>
  <cols>
    <col min="2" max="2" width="35.81640625" customWidth="1"/>
    <col min="3" max="3" width="24.1796875" bestFit="1" customWidth="1"/>
    <col min="4" max="4" width="15.90625" customWidth="1"/>
    <col min="5" max="5" width="13.26953125" bestFit="1" customWidth="1"/>
    <col min="6" max="6" width="13.26953125" customWidth="1"/>
    <col min="7" max="7" width="21.1796875" bestFit="1" customWidth="1"/>
    <col min="8" max="8" width="29.1796875" customWidth="1"/>
    <col min="9" max="9" width="11.81640625" bestFit="1" customWidth="1"/>
    <col min="12" max="12" width="10.90625" bestFit="1" customWidth="1"/>
    <col min="13" max="13" width="12" bestFit="1" customWidth="1"/>
    <col min="14" max="14" width="9.54296875" bestFit="1" customWidth="1"/>
    <col min="15" max="15" width="9.81640625" bestFit="1" customWidth="1"/>
    <col min="18" max="18" width="10.81640625" bestFit="1" customWidth="1"/>
    <col min="19" max="19" width="11.6328125" bestFit="1" customWidth="1"/>
    <col min="20" max="20" width="9.453125" bestFit="1" customWidth="1"/>
  </cols>
  <sheetData>
    <row r="1" spans="1:15" x14ac:dyDescent="0.35">
      <c r="A1" s="2" t="s">
        <v>469</v>
      </c>
      <c r="B1" s="9" t="s">
        <v>813</v>
      </c>
      <c r="C1" s="1" t="s">
        <v>1112</v>
      </c>
      <c r="D1" s="49" t="s">
        <v>1399</v>
      </c>
      <c r="E1" s="47" t="s">
        <v>1397</v>
      </c>
      <c r="F1" s="50"/>
      <c r="G1" s="40" t="s">
        <v>1229</v>
      </c>
      <c r="H1" s="40"/>
      <c r="I1" s="40"/>
      <c r="L1" s="40" t="s">
        <v>1028</v>
      </c>
      <c r="M1" s="40"/>
      <c r="N1" s="40"/>
      <c r="O1" s="1"/>
    </row>
    <row r="2" spans="1:15" x14ac:dyDescent="0.35">
      <c r="A2" s="15" t="s">
        <v>471</v>
      </c>
      <c r="B2" s="16" t="s">
        <v>822</v>
      </c>
      <c r="C2" s="15" t="s">
        <v>1223</v>
      </c>
      <c r="D2" s="6" t="s">
        <v>1415</v>
      </c>
      <c r="E2" s="8" t="s">
        <v>1416</v>
      </c>
      <c r="F2" s="8"/>
      <c r="G2" s="2" t="s">
        <v>1222</v>
      </c>
      <c r="H2" s="2" t="s">
        <v>649</v>
      </c>
      <c r="I2" s="2" t="s">
        <v>929</v>
      </c>
      <c r="L2" s="2" t="s">
        <v>1018</v>
      </c>
      <c r="M2" s="2" t="s">
        <v>649</v>
      </c>
      <c r="N2" s="2" t="s">
        <v>929</v>
      </c>
      <c r="O2" s="15"/>
    </row>
    <row r="3" spans="1:15" ht="58" x14ac:dyDescent="0.35">
      <c r="A3" s="15" t="s">
        <v>475</v>
      </c>
      <c r="B3" s="16" t="s">
        <v>823</v>
      </c>
      <c r="C3" s="15" t="s">
        <v>1224</v>
      </c>
      <c r="D3" s="6" t="s">
        <v>1415</v>
      </c>
      <c r="E3" s="8" t="s">
        <v>1416</v>
      </c>
      <c r="F3" s="8"/>
      <c r="G3" s="15" t="s">
        <v>1223</v>
      </c>
      <c r="H3" s="16" t="s">
        <v>1226</v>
      </c>
      <c r="I3" s="15">
        <v>27</v>
      </c>
      <c r="L3" s="3" t="s">
        <v>1019</v>
      </c>
      <c r="M3" s="3" t="s">
        <v>1020</v>
      </c>
      <c r="N3" s="3">
        <v>3</v>
      </c>
      <c r="O3" s="15"/>
    </row>
    <row r="4" spans="1:15" ht="58" x14ac:dyDescent="0.35">
      <c r="A4" s="15" t="s">
        <v>477</v>
      </c>
      <c r="B4" s="16" t="s">
        <v>824</v>
      </c>
      <c r="C4" s="15" t="s">
        <v>1223</v>
      </c>
      <c r="D4" s="6" t="s">
        <v>1415</v>
      </c>
      <c r="E4" s="8" t="s">
        <v>1416</v>
      </c>
      <c r="F4" s="8"/>
      <c r="G4" s="15" t="s">
        <v>1224</v>
      </c>
      <c r="H4" s="16" t="s">
        <v>1227</v>
      </c>
      <c r="I4" s="15">
        <v>19</v>
      </c>
      <c r="L4" s="3" t="s">
        <v>818</v>
      </c>
      <c r="M4" s="3" t="s">
        <v>1021</v>
      </c>
      <c r="N4" s="3">
        <v>3</v>
      </c>
      <c r="O4" s="15"/>
    </row>
    <row r="5" spans="1:15" ht="29" x14ac:dyDescent="0.35">
      <c r="A5" s="15" t="s">
        <v>479</v>
      </c>
      <c r="B5" s="16" t="s">
        <v>814</v>
      </c>
      <c r="C5" s="15" t="s">
        <v>1223</v>
      </c>
      <c r="D5" s="6" t="s">
        <v>1415</v>
      </c>
      <c r="E5" s="8" t="s">
        <v>1416</v>
      </c>
      <c r="F5" s="8"/>
      <c r="G5" s="15" t="s">
        <v>1225</v>
      </c>
      <c r="H5" s="16" t="s">
        <v>1228</v>
      </c>
      <c r="I5" s="15">
        <v>12</v>
      </c>
      <c r="L5" s="3" t="s">
        <v>1022</v>
      </c>
      <c r="M5" s="3" t="s">
        <v>1023</v>
      </c>
      <c r="N5" s="3">
        <v>3</v>
      </c>
      <c r="O5" s="15"/>
    </row>
    <row r="6" spans="1:15" ht="29" x14ac:dyDescent="0.35">
      <c r="A6" s="15" t="s">
        <v>482</v>
      </c>
      <c r="B6" s="16" t="s">
        <v>827</v>
      </c>
      <c r="C6" s="15" t="s">
        <v>1223</v>
      </c>
      <c r="D6" s="6" t="s">
        <v>1415</v>
      </c>
      <c r="E6" s="8" t="s">
        <v>1416</v>
      </c>
      <c r="F6" s="8"/>
      <c r="G6" s="9" t="s">
        <v>1037</v>
      </c>
      <c r="H6" s="3"/>
      <c r="I6" s="9">
        <f>SUM(I3:I5)</f>
        <v>58</v>
      </c>
      <c r="L6" s="3" t="s">
        <v>1024</v>
      </c>
      <c r="M6" s="3" t="s">
        <v>1025</v>
      </c>
      <c r="N6" s="3">
        <v>3</v>
      </c>
      <c r="O6" s="15"/>
    </row>
    <row r="7" spans="1:15" x14ac:dyDescent="0.35">
      <c r="A7" s="15" t="s">
        <v>484</v>
      </c>
      <c r="B7" s="16" t="s">
        <v>828</v>
      </c>
      <c r="C7" s="15" t="s">
        <v>1223</v>
      </c>
      <c r="D7" s="6" t="s">
        <v>1415</v>
      </c>
      <c r="E7" s="8" t="s">
        <v>1416</v>
      </c>
      <c r="F7" s="8"/>
      <c r="G7" s="3"/>
      <c r="H7" s="3"/>
      <c r="I7" s="3"/>
      <c r="L7" s="3" t="s">
        <v>1026</v>
      </c>
      <c r="M7" s="3" t="s">
        <v>1027</v>
      </c>
      <c r="N7" s="3">
        <v>3</v>
      </c>
      <c r="O7" s="15"/>
    </row>
    <row r="8" spans="1:15" x14ac:dyDescent="0.35">
      <c r="A8" s="15" t="s">
        <v>487</v>
      </c>
      <c r="B8" s="16" t="s">
        <v>830</v>
      </c>
      <c r="C8" s="15" t="s">
        <v>1223</v>
      </c>
      <c r="D8" s="6" t="s">
        <v>1415</v>
      </c>
      <c r="E8" s="8" t="s">
        <v>1416</v>
      </c>
      <c r="F8" s="8"/>
      <c r="M8" s="15"/>
      <c r="N8" s="15"/>
      <c r="O8" s="15"/>
    </row>
    <row r="9" spans="1:15" ht="29" x14ac:dyDescent="0.35">
      <c r="A9" s="15" t="s">
        <v>490</v>
      </c>
      <c r="B9" s="16" t="s">
        <v>831</v>
      </c>
      <c r="C9" s="15" t="s">
        <v>1224</v>
      </c>
      <c r="D9" s="6" t="s">
        <v>1415</v>
      </c>
      <c r="E9" s="8" t="s">
        <v>1416</v>
      </c>
      <c r="F9" s="8"/>
      <c r="M9" s="15"/>
      <c r="N9" s="15"/>
      <c r="O9" s="15"/>
    </row>
    <row r="10" spans="1:15" x14ac:dyDescent="0.35">
      <c r="A10" s="15" t="s">
        <v>493</v>
      </c>
      <c r="B10" s="15" t="s">
        <v>832</v>
      </c>
      <c r="C10" s="15" t="s">
        <v>1223</v>
      </c>
      <c r="D10" s="6" t="s">
        <v>1415</v>
      </c>
      <c r="E10" s="8" t="s">
        <v>1416</v>
      </c>
      <c r="F10" s="8"/>
      <c r="M10" s="15"/>
      <c r="N10" s="15"/>
      <c r="O10" s="15"/>
    </row>
    <row r="11" spans="1:15" x14ac:dyDescent="0.35">
      <c r="A11" s="15" t="s">
        <v>496</v>
      </c>
      <c r="B11" s="15" t="s">
        <v>833</v>
      </c>
      <c r="C11" s="15" t="s">
        <v>1224</v>
      </c>
      <c r="D11" s="6" t="s">
        <v>1415</v>
      </c>
      <c r="E11" s="8" t="s">
        <v>1416</v>
      </c>
      <c r="F11" s="8"/>
      <c r="M11" s="15"/>
      <c r="N11" s="15"/>
      <c r="O11" s="15"/>
    </row>
    <row r="12" spans="1:15" x14ac:dyDescent="0.35">
      <c r="A12" s="15" t="s">
        <v>498</v>
      </c>
      <c r="B12" s="16" t="s">
        <v>838</v>
      </c>
      <c r="C12" s="15" t="s">
        <v>1224</v>
      </c>
      <c r="D12" s="6" t="s">
        <v>1415</v>
      </c>
      <c r="E12" s="8" t="s">
        <v>1416</v>
      </c>
      <c r="F12" s="8"/>
      <c r="M12" s="15"/>
      <c r="N12" s="15"/>
      <c r="O12" s="15"/>
    </row>
    <row r="13" spans="1:15" x14ac:dyDescent="0.35">
      <c r="A13" s="15" t="s">
        <v>501</v>
      </c>
      <c r="B13" s="16" t="s">
        <v>841</v>
      </c>
      <c r="C13" s="15" t="s">
        <v>1223</v>
      </c>
      <c r="D13" s="6" t="s">
        <v>1415</v>
      </c>
      <c r="E13" s="8" t="s">
        <v>1416</v>
      </c>
      <c r="F13" s="8"/>
      <c r="M13" s="15"/>
      <c r="N13" s="15"/>
      <c r="O13" s="15"/>
    </row>
    <row r="14" spans="1:15" x14ac:dyDescent="0.35">
      <c r="A14" s="15" t="s">
        <v>504</v>
      </c>
      <c r="B14" s="16" t="s">
        <v>842</v>
      </c>
      <c r="C14" s="15" t="s">
        <v>1223</v>
      </c>
      <c r="D14" s="6" t="s">
        <v>1415</v>
      </c>
      <c r="E14" s="8" t="s">
        <v>1416</v>
      </c>
      <c r="F14" s="8"/>
      <c r="M14" s="15"/>
      <c r="N14" s="15"/>
      <c r="O14" s="15"/>
    </row>
    <row r="15" spans="1:15" ht="29" x14ac:dyDescent="0.35">
      <c r="A15" s="15" t="s">
        <v>506</v>
      </c>
      <c r="B15" s="16" t="s">
        <v>815</v>
      </c>
      <c r="C15" s="15" t="s">
        <v>1223</v>
      </c>
      <c r="D15" s="6" t="s">
        <v>1415</v>
      </c>
      <c r="E15" s="8" t="s">
        <v>1416</v>
      </c>
      <c r="F15" s="8"/>
      <c r="M15" s="15"/>
      <c r="N15" s="15"/>
      <c r="O15" s="15"/>
    </row>
    <row r="16" spans="1:15" x14ac:dyDescent="0.35">
      <c r="A16" s="15" t="s">
        <v>509</v>
      </c>
      <c r="B16" s="16" t="s">
        <v>845</v>
      </c>
      <c r="C16" s="15" t="s">
        <v>1223</v>
      </c>
      <c r="D16" s="6" t="s">
        <v>1415</v>
      </c>
      <c r="E16" s="8" t="s">
        <v>1416</v>
      </c>
      <c r="F16" s="8"/>
      <c r="M16" s="15"/>
      <c r="N16" s="15"/>
      <c r="O16" s="15"/>
    </row>
    <row r="17" spans="1:15" x14ac:dyDescent="0.35">
      <c r="A17" s="15" t="s">
        <v>512</v>
      </c>
      <c r="B17" s="16" t="s">
        <v>847</v>
      </c>
      <c r="C17" s="15" t="s">
        <v>1225</v>
      </c>
      <c r="D17" s="6" t="s">
        <v>1415</v>
      </c>
      <c r="E17" s="8" t="s">
        <v>1416</v>
      </c>
      <c r="F17" s="8"/>
      <c r="M17" s="15"/>
      <c r="N17" s="15"/>
      <c r="O17" s="15"/>
    </row>
    <row r="18" spans="1:15" x14ac:dyDescent="0.35">
      <c r="A18" s="15" t="s">
        <v>515</v>
      </c>
      <c r="B18" s="16" t="s">
        <v>850</v>
      </c>
      <c r="C18" s="15" t="s">
        <v>1223</v>
      </c>
      <c r="D18" s="6" t="s">
        <v>1415</v>
      </c>
      <c r="E18" s="8" t="s">
        <v>1416</v>
      </c>
      <c r="F18" s="8"/>
      <c r="M18" s="15"/>
      <c r="N18" s="15"/>
      <c r="O18" s="15"/>
    </row>
    <row r="19" spans="1:15" ht="29" x14ac:dyDescent="0.35">
      <c r="A19" s="15" t="s">
        <v>518</v>
      </c>
      <c r="B19" s="16" t="s">
        <v>852</v>
      </c>
      <c r="C19" s="15" t="s">
        <v>1224</v>
      </c>
      <c r="D19" s="6" t="s">
        <v>1415</v>
      </c>
      <c r="E19" s="8" t="s">
        <v>1416</v>
      </c>
      <c r="F19" s="8"/>
      <c r="M19" s="15"/>
      <c r="N19" s="15"/>
      <c r="O19" s="15"/>
    </row>
    <row r="20" spans="1:15" ht="29" x14ac:dyDescent="0.35">
      <c r="A20" s="15" t="s">
        <v>521</v>
      </c>
      <c r="B20" s="16" t="s">
        <v>853</v>
      </c>
      <c r="C20" s="15" t="s">
        <v>1224</v>
      </c>
      <c r="D20" s="6" t="s">
        <v>1415</v>
      </c>
      <c r="E20" s="8" t="s">
        <v>1416</v>
      </c>
      <c r="F20" s="8"/>
      <c r="M20" s="15"/>
      <c r="N20" s="15"/>
      <c r="O20" s="15"/>
    </row>
    <row r="21" spans="1:15" ht="43.5" x14ac:dyDescent="0.35">
      <c r="A21" s="15" t="s">
        <v>523</v>
      </c>
      <c r="B21" s="16" t="s">
        <v>855</v>
      </c>
      <c r="C21" s="15" t="s">
        <v>1223</v>
      </c>
      <c r="D21" s="6" t="s">
        <v>1415</v>
      </c>
      <c r="E21" s="8" t="s">
        <v>1416</v>
      </c>
      <c r="F21" s="8"/>
      <c r="M21" s="15"/>
      <c r="N21" s="15"/>
      <c r="O21" s="15"/>
    </row>
    <row r="22" spans="1:15" x14ac:dyDescent="0.35">
      <c r="A22" s="15" t="s">
        <v>526</v>
      </c>
      <c r="B22" s="16" t="s">
        <v>857</v>
      </c>
      <c r="C22" s="15" t="s">
        <v>1223</v>
      </c>
      <c r="D22" s="6" t="s">
        <v>1415</v>
      </c>
      <c r="E22" s="8" t="s">
        <v>1416</v>
      </c>
      <c r="F22" s="8"/>
      <c r="M22" s="15"/>
      <c r="N22" s="15"/>
      <c r="O22" s="15"/>
    </row>
    <row r="23" spans="1:15" x14ac:dyDescent="0.35">
      <c r="A23" s="15" t="s">
        <v>529</v>
      </c>
      <c r="B23" s="16" t="s">
        <v>858</v>
      </c>
      <c r="C23" s="15" t="s">
        <v>1225</v>
      </c>
      <c r="D23" s="6" t="s">
        <v>1415</v>
      </c>
      <c r="E23" s="8" t="s">
        <v>1416</v>
      </c>
      <c r="F23" s="8"/>
      <c r="M23" s="15"/>
      <c r="N23" s="15"/>
      <c r="O23" s="15"/>
    </row>
    <row r="24" spans="1:15" ht="29" x14ac:dyDescent="0.35">
      <c r="A24" s="15" t="s">
        <v>532</v>
      </c>
      <c r="B24" s="16" t="s">
        <v>861</v>
      </c>
      <c r="C24" s="15" t="s">
        <v>1225</v>
      </c>
      <c r="D24" s="6" t="s">
        <v>1415</v>
      </c>
      <c r="E24" s="8" t="s">
        <v>1416</v>
      </c>
      <c r="F24" s="8"/>
      <c r="M24" s="15"/>
      <c r="N24" s="15"/>
      <c r="O24" s="15"/>
    </row>
    <row r="25" spans="1:15" x14ac:dyDescent="0.35">
      <c r="A25" s="15" t="s">
        <v>535</v>
      </c>
      <c r="B25" s="16" t="s">
        <v>862</v>
      </c>
      <c r="C25" s="15" t="s">
        <v>1223</v>
      </c>
      <c r="D25" s="6" t="s">
        <v>1415</v>
      </c>
      <c r="E25" s="8" t="s">
        <v>1416</v>
      </c>
      <c r="F25" s="8"/>
    </row>
    <row r="26" spans="1:15" x14ac:dyDescent="0.35">
      <c r="A26" s="15" t="s">
        <v>537</v>
      </c>
      <c r="B26" s="16" t="s">
        <v>816</v>
      </c>
      <c r="C26" s="15" t="s">
        <v>1224</v>
      </c>
      <c r="D26" s="6" t="s">
        <v>1415</v>
      </c>
      <c r="E26" s="8" t="s">
        <v>1416</v>
      </c>
      <c r="F26" s="8"/>
    </row>
    <row r="27" spans="1:15" x14ac:dyDescent="0.35">
      <c r="A27" s="15" t="s">
        <v>539</v>
      </c>
      <c r="B27" s="16" t="s">
        <v>865</v>
      </c>
      <c r="C27" s="15" t="s">
        <v>1224</v>
      </c>
      <c r="D27" s="6" t="s">
        <v>1415</v>
      </c>
      <c r="E27" s="8" t="s">
        <v>1416</v>
      </c>
      <c r="F27" s="8"/>
    </row>
    <row r="28" spans="1:15" x14ac:dyDescent="0.35">
      <c r="A28" s="15" t="s">
        <v>541</v>
      </c>
      <c r="B28" s="16" t="s">
        <v>867</v>
      </c>
      <c r="C28" s="15" t="s">
        <v>1223</v>
      </c>
      <c r="D28" s="6" t="s">
        <v>1415</v>
      </c>
      <c r="E28" s="8" t="s">
        <v>1416</v>
      </c>
      <c r="F28" s="8"/>
    </row>
    <row r="29" spans="1:15" x14ac:dyDescent="0.35">
      <c r="A29" s="15" t="s">
        <v>544</v>
      </c>
      <c r="B29" s="16" t="s">
        <v>873</v>
      </c>
      <c r="C29" s="15" t="s">
        <v>1224</v>
      </c>
      <c r="D29" s="6" t="s">
        <v>1415</v>
      </c>
      <c r="E29" s="8" t="s">
        <v>1416</v>
      </c>
      <c r="F29" s="8"/>
    </row>
    <row r="30" spans="1:15" x14ac:dyDescent="0.35">
      <c r="A30" s="15" t="s">
        <v>546</v>
      </c>
      <c r="B30" s="16" t="s">
        <v>875</v>
      </c>
      <c r="C30" s="15" t="s">
        <v>1225</v>
      </c>
      <c r="D30" s="6" t="s">
        <v>1415</v>
      </c>
      <c r="E30" s="8" t="s">
        <v>1416</v>
      </c>
      <c r="F30" s="8"/>
    </row>
    <row r="31" spans="1:15" x14ac:dyDescent="0.35">
      <c r="A31" s="15" t="s">
        <v>548</v>
      </c>
      <c r="B31" s="16" t="s">
        <v>876</v>
      </c>
      <c r="C31" s="15" t="s">
        <v>1224</v>
      </c>
      <c r="D31" s="6" t="s">
        <v>1415</v>
      </c>
      <c r="E31" s="8" t="s">
        <v>1416</v>
      </c>
      <c r="F31" s="8"/>
    </row>
    <row r="32" spans="1:15" x14ac:dyDescent="0.35">
      <c r="A32" s="15" t="s">
        <v>550</v>
      </c>
      <c r="B32" s="16" t="s">
        <v>878</v>
      </c>
      <c r="C32" s="15" t="s">
        <v>1224</v>
      </c>
      <c r="D32" s="6" t="s">
        <v>1415</v>
      </c>
      <c r="E32" s="8" t="s">
        <v>1416</v>
      </c>
      <c r="F32" s="8"/>
    </row>
    <row r="33" spans="1:6" x14ac:dyDescent="0.35">
      <c r="A33" s="15" t="s">
        <v>553</v>
      </c>
      <c r="B33" s="16" t="s">
        <v>880</v>
      </c>
      <c r="C33" s="15" t="s">
        <v>1224</v>
      </c>
      <c r="D33" s="6" t="s">
        <v>1415</v>
      </c>
      <c r="E33" s="8" t="s">
        <v>1416</v>
      </c>
      <c r="F33" s="8"/>
    </row>
    <row r="34" spans="1:6" x14ac:dyDescent="0.35">
      <c r="A34" s="15" t="s">
        <v>556</v>
      </c>
      <c r="B34" s="16" t="s">
        <v>817</v>
      </c>
      <c r="C34" s="15" t="s">
        <v>1223</v>
      </c>
      <c r="D34" s="6" t="s">
        <v>1415</v>
      </c>
      <c r="E34" s="8" t="s">
        <v>1416</v>
      </c>
      <c r="F34" s="8"/>
    </row>
    <row r="35" spans="1:6" x14ac:dyDescent="0.35">
      <c r="A35" s="15" t="s">
        <v>557</v>
      </c>
      <c r="B35" s="16" t="s">
        <v>882</v>
      </c>
      <c r="C35" s="15" t="s">
        <v>1224</v>
      </c>
      <c r="D35" s="6" t="s">
        <v>1415</v>
      </c>
      <c r="E35" s="8" t="s">
        <v>1416</v>
      </c>
      <c r="F35" s="8"/>
    </row>
    <row r="36" spans="1:6" x14ac:dyDescent="0.35">
      <c r="A36" s="15" t="s">
        <v>559</v>
      </c>
      <c r="B36" s="16" t="s">
        <v>885</v>
      </c>
      <c r="C36" s="15" t="s">
        <v>1224</v>
      </c>
      <c r="D36" s="6" t="s">
        <v>1415</v>
      </c>
      <c r="E36" s="8" t="s">
        <v>1416</v>
      </c>
      <c r="F36" s="8"/>
    </row>
    <row r="37" spans="1:6" ht="29" x14ac:dyDescent="0.35">
      <c r="A37" s="15" t="s">
        <v>562</v>
      </c>
      <c r="B37" s="16" t="s">
        <v>886</v>
      </c>
      <c r="C37" s="15" t="s">
        <v>1224</v>
      </c>
      <c r="D37" s="6" t="s">
        <v>1415</v>
      </c>
      <c r="E37" s="8" t="s">
        <v>1416</v>
      </c>
      <c r="F37" s="8"/>
    </row>
    <row r="38" spans="1:6" x14ac:dyDescent="0.35">
      <c r="A38" s="15" t="s">
        <v>563</v>
      </c>
      <c r="B38" s="16" t="s">
        <v>887</v>
      </c>
      <c r="C38" s="15" t="s">
        <v>1223</v>
      </c>
      <c r="D38" s="6" t="s">
        <v>1415</v>
      </c>
      <c r="E38" s="8" t="s">
        <v>1416</v>
      </c>
      <c r="F38" s="8"/>
    </row>
    <row r="39" spans="1:6" x14ac:dyDescent="0.35">
      <c r="A39" s="15" t="s">
        <v>565</v>
      </c>
      <c r="B39" s="16" t="s">
        <v>818</v>
      </c>
      <c r="C39" s="15" t="s">
        <v>1223</v>
      </c>
      <c r="D39" s="6" t="s">
        <v>1415</v>
      </c>
      <c r="E39" s="8" t="s">
        <v>1416</v>
      </c>
      <c r="F39" s="8"/>
    </row>
    <row r="40" spans="1:6" ht="29" x14ac:dyDescent="0.35">
      <c r="A40" s="15" t="s">
        <v>567</v>
      </c>
      <c r="B40" s="16" t="s">
        <v>890</v>
      </c>
      <c r="C40" s="15" t="s">
        <v>1224</v>
      </c>
      <c r="D40" s="6" t="s">
        <v>1415</v>
      </c>
      <c r="E40" s="8" t="s">
        <v>1416</v>
      </c>
      <c r="F40" s="8"/>
    </row>
    <row r="41" spans="1:6" ht="87" x14ac:dyDescent="0.35">
      <c r="A41" s="15" t="s">
        <v>569</v>
      </c>
      <c r="B41" s="16" t="s">
        <v>892</v>
      </c>
      <c r="C41" s="15" t="s">
        <v>1225</v>
      </c>
      <c r="D41" s="6" t="s">
        <v>1415</v>
      </c>
      <c r="E41" s="8" t="s">
        <v>1416</v>
      </c>
      <c r="F41" s="8"/>
    </row>
    <row r="42" spans="1:6" ht="29" x14ac:dyDescent="0.35">
      <c r="A42" s="15" t="s">
        <v>572</v>
      </c>
      <c r="B42" s="16" t="s">
        <v>899</v>
      </c>
      <c r="C42" s="15" t="s">
        <v>1223</v>
      </c>
      <c r="D42" s="6" t="s">
        <v>1415</v>
      </c>
      <c r="E42" s="8" t="s">
        <v>1416</v>
      </c>
      <c r="F42" s="8"/>
    </row>
    <row r="43" spans="1:6" x14ac:dyDescent="0.35">
      <c r="A43" s="15" t="s">
        <v>574</v>
      </c>
      <c r="B43" s="16" t="s">
        <v>900</v>
      </c>
      <c r="C43" s="15" t="s">
        <v>1225</v>
      </c>
      <c r="D43" s="6" t="s">
        <v>1415</v>
      </c>
      <c r="E43" s="8" t="s">
        <v>1416</v>
      </c>
      <c r="F43" s="8"/>
    </row>
    <row r="44" spans="1:6" ht="29" x14ac:dyDescent="0.35">
      <c r="A44" s="15" t="s">
        <v>577</v>
      </c>
      <c r="B44" s="16" t="s">
        <v>902</v>
      </c>
      <c r="C44" s="15" t="s">
        <v>1224</v>
      </c>
      <c r="D44" s="6" t="s">
        <v>1415</v>
      </c>
      <c r="E44" s="8" t="s">
        <v>1416</v>
      </c>
      <c r="F44" s="8"/>
    </row>
    <row r="45" spans="1:6" ht="29" x14ac:dyDescent="0.35">
      <c r="A45" s="15" t="s">
        <v>579</v>
      </c>
      <c r="B45" s="16" t="s">
        <v>904</v>
      </c>
      <c r="C45" s="15" t="s">
        <v>1223</v>
      </c>
      <c r="D45" s="6" t="s">
        <v>1415</v>
      </c>
      <c r="E45" s="8" t="s">
        <v>1416</v>
      </c>
      <c r="F45" s="8"/>
    </row>
    <row r="46" spans="1:6" x14ac:dyDescent="0.35">
      <c r="A46" s="15" t="s">
        <v>581</v>
      </c>
      <c r="B46" s="16" t="s">
        <v>906</v>
      </c>
      <c r="C46" s="15" t="s">
        <v>1225</v>
      </c>
      <c r="D46" s="6" t="s">
        <v>1415</v>
      </c>
      <c r="E46" s="8" t="s">
        <v>1416</v>
      </c>
      <c r="F46" s="8"/>
    </row>
    <row r="47" spans="1:6" x14ac:dyDescent="0.35">
      <c r="A47" s="15" t="s">
        <v>583</v>
      </c>
      <c r="B47" s="16" t="s">
        <v>819</v>
      </c>
      <c r="C47" s="15" t="s">
        <v>1223</v>
      </c>
      <c r="D47" s="6" t="s">
        <v>1415</v>
      </c>
      <c r="E47" s="8" t="s">
        <v>1416</v>
      </c>
      <c r="F47" s="8"/>
    </row>
    <row r="48" spans="1:6" x14ac:dyDescent="0.35">
      <c r="A48" s="15" t="s">
        <v>585</v>
      </c>
      <c r="B48" s="16" t="s">
        <v>909</v>
      </c>
      <c r="C48" s="15" t="s">
        <v>1225</v>
      </c>
      <c r="D48" s="6" t="s">
        <v>1415</v>
      </c>
      <c r="E48" s="8" t="s">
        <v>1416</v>
      </c>
      <c r="F48" s="8"/>
    </row>
    <row r="49" spans="1:6" ht="43.5" x14ac:dyDescent="0.35">
      <c r="A49" s="15" t="s">
        <v>587</v>
      </c>
      <c r="B49" s="16" t="s">
        <v>910</v>
      </c>
      <c r="C49" s="15" t="s">
        <v>1225</v>
      </c>
      <c r="D49" s="6" t="s">
        <v>1415</v>
      </c>
      <c r="E49" s="8" t="s">
        <v>1416</v>
      </c>
      <c r="F49" s="8"/>
    </row>
    <row r="50" spans="1:6" ht="43.5" x14ac:dyDescent="0.35">
      <c r="A50" s="15" t="s">
        <v>590</v>
      </c>
      <c r="B50" s="16" t="s">
        <v>896</v>
      </c>
      <c r="C50" s="15" t="s">
        <v>1223</v>
      </c>
      <c r="D50" s="6" t="s">
        <v>1415</v>
      </c>
      <c r="E50" s="8" t="s">
        <v>1416</v>
      </c>
      <c r="F50" s="8"/>
    </row>
    <row r="51" spans="1:6" ht="29" x14ac:dyDescent="0.35">
      <c r="A51" s="15" t="s">
        <v>592</v>
      </c>
      <c r="B51" s="16" t="s">
        <v>894</v>
      </c>
      <c r="C51" s="15" t="s">
        <v>1223</v>
      </c>
      <c r="D51" s="6" t="s">
        <v>1415</v>
      </c>
      <c r="E51" s="8" t="s">
        <v>1416</v>
      </c>
      <c r="F51" s="8"/>
    </row>
    <row r="52" spans="1:6" ht="58" x14ac:dyDescent="0.35">
      <c r="A52" s="15" t="s">
        <v>594</v>
      </c>
      <c r="B52" s="16" t="s">
        <v>913</v>
      </c>
      <c r="C52" s="15" t="s">
        <v>1225</v>
      </c>
      <c r="D52" s="6" t="s">
        <v>1415</v>
      </c>
      <c r="E52" s="8" t="s">
        <v>1416</v>
      </c>
      <c r="F52" s="8"/>
    </row>
    <row r="53" spans="1:6" ht="29" x14ac:dyDescent="0.35">
      <c r="A53" s="15" t="s">
        <v>597</v>
      </c>
      <c r="B53" s="16" t="s">
        <v>915</v>
      </c>
      <c r="C53" s="15" t="s">
        <v>1223</v>
      </c>
      <c r="D53" s="6" t="s">
        <v>1415</v>
      </c>
      <c r="E53" s="8" t="s">
        <v>1416</v>
      </c>
      <c r="F53" s="8"/>
    </row>
    <row r="54" spans="1:6" ht="29" x14ac:dyDescent="0.35">
      <c r="A54" s="15" t="s">
        <v>600</v>
      </c>
      <c r="B54" s="16" t="s">
        <v>917</v>
      </c>
      <c r="C54" s="15" t="s">
        <v>1225</v>
      </c>
      <c r="D54" s="6" t="s">
        <v>1415</v>
      </c>
      <c r="E54" s="8" t="s">
        <v>1416</v>
      </c>
      <c r="F54" s="8"/>
    </row>
    <row r="55" spans="1:6" ht="43.5" x14ac:dyDescent="0.35">
      <c r="A55" s="15" t="s">
        <v>602</v>
      </c>
      <c r="B55" s="16" t="s">
        <v>919</v>
      </c>
      <c r="C55" s="15" t="s">
        <v>1224</v>
      </c>
      <c r="D55" s="6" t="s">
        <v>1415</v>
      </c>
      <c r="E55" s="8" t="s">
        <v>1416</v>
      </c>
      <c r="F55" s="8"/>
    </row>
    <row r="56" spans="1:6" x14ac:dyDescent="0.35">
      <c r="A56" s="15" t="s">
        <v>604</v>
      </c>
      <c r="B56" s="16" t="s">
        <v>820</v>
      </c>
      <c r="C56" s="15" t="s">
        <v>1223</v>
      </c>
      <c r="D56" s="6" t="s">
        <v>1415</v>
      </c>
      <c r="E56" s="8" t="s">
        <v>1416</v>
      </c>
      <c r="F56" s="8"/>
    </row>
    <row r="57" spans="1:6" x14ac:dyDescent="0.35">
      <c r="A57" s="15" t="s">
        <v>606</v>
      </c>
      <c r="B57" s="16" t="s">
        <v>923</v>
      </c>
      <c r="C57" s="15" t="s">
        <v>1223</v>
      </c>
      <c r="D57" s="6" t="s">
        <v>1415</v>
      </c>
      <c r="E57" s="8" t="s">
        <v>1416</v>
      </c>
      <c r="F57" s="8"/>
    </row>
    <row r="58" spans="1:6" x14ac:dyDescent="0.35">
      <c r="A58" s="15" t="s">
        <v>608</v>
      </c>
      <c r="B58" s="16" t="s">
        <v>925</v>
      </c>
      <c r="C58" s="15" t="s">
        <v>1225</v>
      </c>
      <c r="D58" s="6" t="s">
        <v>1415</v>
      </c>
      <c r="E58" s="8" t="s">
        <v>1416</v>
      </c>
      <c r="F58" s="8"/>
    </row>
    <row r="59" spans="1:6" x14ac:dyDescent="0.35">
      <c r="A59" s="15" t="s">
        <v>735</v>
      </c>
      <c r="B59" s="16" t="s">
        <v>998</v>
      </c>
      <c r="C59" s="15" t="s">
        <v>1224</v>
      </c>
      <c r="D59" s="6" t="s">
        <v>1415</v>
      </c>
      <c r="E59" s="8" t="s">
        <v>1416</v>
      </c>
      <c r="F59" s="8"/>
    </row>
  </sheetData>
  <autoFilter ref="A1:E59" xr:uid="{18B160C4-9D71-455D-93D6-7128EA4CB684}"/>
  <mergeCells count="2">
    <mergeCell ref="G1:I1"/>
    <mergeCell ref="L1:N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8B58-FCE0-4F74-B20E-8CA79830520C}">
  <sheetPr>
    <tabColor rgb="FFFFFF00"/>
  </sheetPr>
  <dimension ref="A1:V59"/>
  <sheetViews>
    <sheetView zoomScale="104" zoomScaleNormal="104" workbookViewId="0">
      <selection activeCell="F12" sqref="F12"/>
    </sheetView>
  </sheetViews>
  <sheetFormatPr defaultRowHeight="14.5" x14ac:dyDescent="0.35"/>
  <cols>
    <col min="2" max="2" width="34.90625" customWidth="1"/>
    <col min="3" max="3" width="49.6328125" customWidth="1"/>
    <col min="4" max="4" width="10.81640625" bestFit="1" customWidth="1"/>
    <col min="5" max="5" width="13.26953125" bestFit="1" customWidth="1"/>
    <col min="6" max="6" width="22.1796875" bestFit="1" customWidth="1"/>
    <col min="7" max="7" width="48.7265625" customWidth="1"/>
    <col min="8" max="8" width="9.453125" bestFit="1" customWidth="1"/>
    <col min="12" max="12" width="36.1796875" customWidth="1"/>
    <col min="16" max="16" width="22.1796875" bestFit="1" customWidth="1"/>
    <col min="17" max="17" width="69.26953125" customWidth="1"/>
  </cols>
  <sheetData>
    <row r="1" spans="1:22" x14ac:dyDescent="0.35">
      <c r="A1" s="2" t="s">
        <v>469</v>
      </c>
      <c r="B1" s="9" t="s">
        <v>1110</v>
      </c>
      <c r="C1" s="1" t="s">
        <v>1112</v>
      </c>
      <c r="D1" s="49" t="s">
        <v>1399</v>
      </c>
      <c r="E1" s="47" t="s">
        <v>1397</v>
      </c>
      <c r="F1" s="40" t="s">
        <v>1194</v>
      </c>
      <c r="G1" s="40"/>
      <c r="H1" s="40"/>
      <c r="K1" s="40" t="s">
        <v>1017</v>
      </c>
      <c r="L1" s="40"/>
      <c r="M1" s="40"/>
    </row>
    <row r="2" spans="1:22" ht="18" customHeight="1" x14ac:dyDescent="0.35">
      <c r="A2" s="15" t="s">
        <v>471</v>
      </c>
      <c r="B2" s="16" t="s">
        <v>821</v>
      </c>
      <c r="C2" s="16" t="s">
        <v>1161</v>
      </c>
      <c r="D2" s="6" t="s">
        <v>1415</v>
      </c>
      <c r="E2" s="8" t="s">
        <v>1416</v>
      </c>
      <c r="F2" s="2" t="s">
        <v>1185</v>
      </c>
      <c r="G2" s="2" t="s">
        <v>649</v>
      </c>
      <c r="H2" s="2" t="s">
        <v>929</v>
      </c>
      <c r="K2" s="2" t="s">
        <v>1109</v>
      </c>
      <c r="L2" s="2" t="s">
        <v>649</v>
      </c>
      <c r="M2" s="2" t="s">
        <v>929</v>
      </c>
      <c r="P2" s="1" t="s">
        <v>1112</v>
      </c>
      <c r="Q2" s="1" t="s">
        <v>1221</v>
      </c>
      <c r="T2" s="2"/>
      <c r="U2" s="2"/>
      <c r="V2" s="2"/>
    </row>
    <row r="3" spans="1:22" ht="43.5" x14ac:dyDescent="0.35">
      <c r="A3" s="15" t="s">
        <v>475</v>
      </c>
      <c r="B3" s="16" t="s">
        <v>870</v>
      </c>
      <c r="C3" s="16" t="s">
        <v>1162</v>
      </c>
      <c r="D3" s="6" t="s">
        <v>1415</v>
      </c>
      <c r="E3" s="8" t="s">
        <v>1416</v>
      </c>
      <c r="F3" s="3" t="s">
        <v>1161</v>
      </c>
      <c r="G3" s="6" t="s">
        <v>1195</v>
      </c>
      <c r="H3" s="3">
        <v>33</v>
      </c>
      <c r="K3" s="15" t="s">
        <v>821</v>
      </c>
      <c r="L3" s="16" t="s">
        <v>999</v>
      </c>
      <c r="M3" s="15">
        <v>23</v>
      </c>
      <c r="P3" s="3" t="s">
        <v>1161</v>
      </c>
      <c r="Q3" s="6" t="s">
        <v>1211</v>
      </c>
      <c r="T3" s="3"/>
      <c r="U3" s="3"/>
      <c r="V3" s="3"/>
    </row>
    <row r="4" spans="1:22" ht="29" x14ac:dyDescent="0.35">
      <c r="A4" s="15" t="s">
        <v>477</v>
      </c>
      <c r="B4" s="16" t="s">
        <v>825</v>
      </c>
      <c r="C4" s="16" t="s">
        <v>1163</v>
      </c>
      <c r="D4" s="6" t="s">
        <v>1415</v>
      </c>
      <c r="E4" s="8" t="s">
        <v>1416</v>
      </c>
      <c r="F4" s="3" t="s">
        <v>1166</v>
      </c>
      <c r="G4" s="6" t="s">
        <v>1186</v>
      </c>
      <c r="H4" s="3">
        <v>20</v>
      </c>
      <c r="K4" s="15" t="s">
        <v>1000</v>
      </c>
      <c r="L4" s="16" t="s">
        <v>1001</v>
      </c>
      <c r="M4" s="15">
        <v>18</v>
      </c>
      <c r="P4" s="3" t="s">
        <v>1166</v>
      </c>
      <c r="Q4" s="6" t="s">
        <v>1212</v>
      </c>
      <c r="T4" s="3"/>
      <c r="U4" s="3"/>
      <c r="V4" s="3"/>
    </row>
    <row r="5" spans="1:22" ht="29" x14ac:dyDescent="0.35">
      <c r="A5" s="15" t="s">
        <v>479</v>
      </c>
      <c r="B5" s="16" t="s">
        <v>871</v>
      </c>
      <c r="C5" s="16" t="s">
        <v>1202</v>
      </c>
      <c r="D5" s="6" t="s">
        <v>1415</v>
      </c>
      <c r="E5" s="8" t="s">
        <v>1416</v>
      </c>
      <c r="F5" s="3" t="s">
        <v>1162</v>
      </c>
      <c r="G5" s="6" t="s">
        <v>1198</v>
      </c>
      <c r="H5" s="3">
        <v>15</v>
      </c>
      <c r="K5" s="15" t="s">
        <v>835</v>
      </c>
      <c r="L5" s="16" t="s">
        <v>1002</v>
      </c>
      <c r="M5" s="15">
        <v>14</v>
      </c>
      <c r="P5" s="3" t="s">
        <v>1187</v>
      </c>
      <c r="Q5" s="6" t="s">
        <v>1213</v>
      </c>
      <c r="T5" s="3"/>
      <c r="U5" s="3"/>
      <c r="V5" s="3"/>
    </row>
    <row r="6" spans="1:22" ht="29" x14ac:dyDescent="0.35">
      <c r="A6" s="15" t="s">
        <v>482</v>
      </c>
      <c r="B6" s="16" t="s">
        <v>826</v>
      </c>
      <c r="C6" s="16" t="s">
        <v>1164</v>
      </c>
      <c r="D6" s="6" t="s">
        <v>1415</v>
      </c>
      <c r="E6" s="8" t="s">
        <v>1416</v>
      </c>
      <c r="F6" s="3" t="s">
        <v>1193</v>
      </c>
      <c r="G6" s="3" t="s">
        <v>1199</v>
      </c>
      <c r="H6" s="3">
        <v>12</v>
      </c>
      <c r="K6" s="15" t="s">
        <v>1003</v>
      </c>
      <c r="L6" s="16" t="s">
        <v>1004</v>
      </c>
      <c r="M6" s="15">
        <v>11</v>
      </c>
      <c r="P6" s="3" t="s">
        <v>1162</v>
      </c>
      <c r="Q6" s="6" t="s">
        <v>1214</v>
      </c>
      <c r="T6" s="3"/>
      <c r="U6" s="3"/>
      <c r="V6" s="3"/>
    </row>
    <row r="7" spans="1:22" ht="29" x14ac:dyDescent="0.35">
      <c r="A7" s="15" t="s">
        <v>484</v>
      </c>
      <c r="B7" s="16" t="s">
        <v>837</v>
      </c>
      <c r="C7" s="16" t="s">
        <v>1165</v>
      </c>
      <c r="D7" s="6" t="s">
        <v>1415</v>
      </c>
      <c r="E7" s="8" t="s">
        <v>1416</v>
      </c>
      <c r="F7" s="3" t="s">
        <v>1187</v>
      </c>
      <c r="G7" s="3" t="s">
        <v>1200</v>
      </c>
      <c r="H7" s="3">
        <v>8</v>
      </c>
      <c r="K7" s="15" t="s">
        <v>1005</v>
      </c>
      <c r="L7" s="16" t="s">
        <v>1006</v>
      </c>
      <c r="M7" s="15">
        <v>8</v>
      </c>
      <c r="P7" s="3" t="s">
        <v>1181</v>
      </c>
      <c r="Q7" s="6" t="s">
        <v>1215</v>
      </c>
      <c r="T7" s="3"/>
      <c r="U7" s="3"/>
      <c r="V7" s="3"/>
    </row>
    <row r="8" spans="1:22" x14ac:dyDescent="0.35">
      <c r="A8" s="15" t="s">
        <v>487</v>
      </c>
      <c r="B8" s="16" t="s">
        <v>829</v>
      </c>
      <c r="C8" s="16" t="s">
        <v>1161</v>
      </c>
      <c r="D8" s="6" t="s">
        <v>1415</v>
      </c>
      <c r="E8" s="8" t="s">
        <v>1416</v>
      </c>
      <c r="F8" s="3" t="s">
        <v>1181</v>
      </c>
      <c r="G8" s="3" t="s">
        <v>1201</v>
      </c>
      <c r="H8" s="3">
        <v>6</v>
      </c>
      <c r="K8" s="15" t="s">
        <v>1007</v>
      </c>
      <c r="L8" s="16" t="s">
        <v>1008</v>
      </c>
      <c r="M8" s="15">
        <v>6</v>
      </c>
      <c r="P8" s="3" t="s">
        <v>1189</v>
      </c>
      <c r="Q8" s="6" t="s">
        <v>1216</v>
      </c>
      <c r="T8" s="3"/>
      <c r="U8" s="3"/>
      <c r="V8" s="3"/>
    </row>
    <row r="9" spans="1:22" ht="29" x14ac:dyDescent="0.35">
      <c r="A9" s="15" t="s">
        <v>490</v>
      </c>
      <c r="B9" s="16" t="s">
        <v>836</v>
      </c>
      <c r="C9" s="16" t="s">
        <v>1166</v>
      </c>
      <c r="D9" s="6" t="s">
        <v>1415</v>
      </c>
      <c r="E9" s="8" t="s">
        <v>1416</v>
      </c>
      <c r="F9" s="3" t="s">
        <v>1189</v>
      </c>
      <c r="G9" s="3" t="s">
        <v>1196</v>
      </c>
      <c r="H9" s="3">
        <v>5</v>
      </c>
      <c r="K9" s="15" t="s">
        <v>1009</v>
      </c>
      <c r="L9" s="16" t="s">
        <v>1010</v>
      </c>
      <c r="M9" s="15">
        <v>6</v>
      </c>
      <c r="P9" s="3" t="s">
        <v>1190</v>
      </c>
      <c r="Q9" s="6" t="s">
        <v>1217</v>
      </c>
      <c r="T9" s="3"/>
      <c r="U9" s="3"/>
      <c r="V9" s="3"/>
    </row>
    <row r="10" spans="1:22" ht="29" x14ac:dyDescent="0.35">
      <c r="A10" s="15" t="s">
        <v>493</v>
      </c>
      <c r="B10" s="16" t="s">
        <v>835</v>
      </c>
      <c r="C10" s="16" t="s">
        <v>1166</v>
      </c>
      <c r="D10" s="6" t="s">
        <v>1415</v>
      </c>
      <c r="E10" s="8" t="s">
        <v>1416</v>
      </c>
      <c r="F10" s="3" t="s">
        <v>1188</v>
      </c>
      <c r="G10" s="3" t="s">
        <v>1197</v>
      </c>
      <c r="H10" s="3">
        <v>5</v>
      </c>
      <c r="K10" s="15" t="s">
        <v>1011</v>
      </c>
      <c r="L10" s="16" t="s">
        <v>1012</v>
      </c>
      <c r="M10" s="15">
        <v>5</v>
      </c>
      <c r="P10" s="3" t="s">
        <v>1188</v>
      </c>
      <c r="Q10" s="6" t="s">
        <v>1218</v>
      </c>
      <c r="T10" s="3"/>
      <c r="U10" s="3"/>
      <c r="V10" s="3"/>
    </row>
    <row r="11" spans="1:22" x14ac:dyDescent="0.35">
      <c r="A11" s="15" t="s">
        <v>496</v>
      </c>
      <c r="B11" s="16" t="s">
        <v>834</v>
      </c>
      <c r="C11" s="16" t="s">
        <v>1165</v>
      </c>
      <c r="D11" s="6" t="s">
        <v>1415</v>
      </c>
      <c r="E11" s="8" t="s">
        <v>1416</v>
      </c>
      <c r="F11" s="3" t="s">
        <v>1171</v>
      </c>
      <c r="G11" s="3" t="s">
        <v>1192</v>
      </c>
      <c r="H11" s="3">
        <v>4</v>
      </c>
      <c r="K11" s="15" t="s">
        <v>1013</v>
      </c>
      <c r="L11" s="16" t="s">
        <v>1014</v>
      </c>
      <c r="M11" s="15">
        <v>4</v>
      </c>
      <c r="P11" s="3" t="s">
        <v>1171</v>
      </c>
      <c r="Q11" s="6" t="s">
        <v>1219</v>
      </c>
      <c r="T11" s="3"/>
      <c r="U11" s="3"/>
      <c r="V11" s="3"/>
    </row>
    <row r="12" spans="1:22" ht="87" x14ac:dyDescent="0.35">
      <c r="A12" s="15" t="s">
        <v>498</v>
      </c>
      <c r="B12" s="16" t="s">
        <v>839</v>
      </c>
      <c r="C12" s="16" t="s">
        <v>1167</v>
      </c>
      <c r="D12" s="6" t="s">
        <v>1415</v>
      </c>
      <c r="E12" s="8" t="s">
        <v>1416</v>
      </c>
      <c r="F12" s="3" t="s">
        <v>1190</v>
      </c>
      <c r="G12" s="3" t="s">
        <v>1191</v>
      </c>
      <c r="H12" s="3">
        <v>3</v>
      </c>
      <c r="K12" s="15" t="s">
        <v>1015</v>
      </c>
      <c r="L12" s="16" t="s">
        <v>1016</v>
      </c>
      <c r="M12" s="15">
        <v>4</v>
      </c>
      <c r="P12" s="3" t="s">
        <v>1193</v>
      </c>
      <c r="Q12" s="6" t="s">
        <v>1220</v>
      </c>
      <c r="T12" s="3"/>
      <c r="U12" s="3"/>
      <c r="V12" s="3"/>
    </row>
    <row r="13" spans="1:22" ht="29" x14ac:dyDescent="0.35">
      <c r="A13" s="15" t="s">
        <v>501</v>
      </c>
      <c r="B13" s="16" t="s">
        <v>840</v>
      </c>
      <c r="C13" s="16" t="s">
        <v>1168</v>
      </c>
      <c r="D13" s="6" t="s">
        <v>1415</v>
      </c>
      <c r="E13" s="8" t="s">
        <v>1416</v>
      </c>
      <c r="F13" s="9" t="s">
        <v>632</v>
      </c>
      <c r="G13" s="1"/>
      <c r="H13" s="9">
        <f>SUM(H3:H12)</f>
        <v>111</v>
      </c>
    </row>
    <row r="14" spans="1:22" x14ac:dyDescent="0.35">
      <c r="A14" s="15" t="s">
        <v>504</v>
      </c>
      <c r="B14" s="16" t="s">
        <v>843</v>
      </c>
      <c r="C14" s="16" t="s">
        <v>1166</v>
      </c>
      <c r="D14" s="6" t="s">
        <v>1415</v>
      </c>
      <c r="E14" s="8" t="s">
        <v>1416</v>
      </c>
    </row>
    <row r="15" spans="1:22" x14ac:dyDescent="0.35">
      <c r="A15" s="15" t="s">
        <v>506</v>
      </c>
      <c r="B15" s="16" t="s">
        <v>844</v>
      </c>
      <c r="C15" s="16" t="s">
        <v>1166</v>
      </c>
      <c r="D15" s="6" t="s">
        <v>1415</v>
      </c>
      <c r="E15" s="8" t="s">
        <v>1416</v>
      </c>
    </row>
    <row r="16" spans="1:22" x14ac:dyDescent="0.35">
      <c r="A16" s="15" t="s">
        <v>509</v>
      </c>
      <c r="B16" s="16" t="s">
        <v>846</v>
      </c>
      <c r="C16" s="16" t="s">
        <v>1162</v>
      </c>
      <c r="D16" s="6" t="s">
        <v>1415</v>
      </c>
      <c r="E16" s="8" t="s">
        <v>1416</v>
      </c>
    </row>
    <row r="17" spans="1:5" ht="29" x14ac:dyDescent="0.35">
      <c r="A17" s="15" t="s">
        <v>512</v>
      </c>
      <c r="B17" s="16" t="s">
        <v>848</v>
      </c>
      <c r="C17" s="16" t="s">
        <v>1169</v>
      </c>
      <c r="D17" s="6" t="s">
        <v>1415</v>
      </c>
      <c r="E17" s="8" t="s">
        <v>1416</v>
      </c>
    </row>
    <row r="18" spans="1:5" x14ac:dyDescent="0.35">
      <c r="A18" s="15" t="s">
        <v>515</v>
      </c>
      <c r="B18" s="16" t="s">
        <v>849</v>
      </c>
      <c r="C18" s="16" t="s">
        <v>1166</v>
      </c>
      <c r="D18" s="6" t="s">
        <v>1415</v>
      </c>
      <c r="E18" s="8" t="s">
        <v>1416</v>
      </c>
    </row>
    <row r="19" spans="1:5" x14ac:dyDescent="0.35">
      <c r="A19" s="15" t="s">
        <v>518</v>
      </c>
      <c r="B19" s="16" t="s">
        <v>851</v>
      </c>
      <c r="C19" s="16" t="s">
        <v>1161</v>
      </c>
      <c r="D19" s="6" t="s">
        <v>1415</v>
      </c>
      <c r="E19" s="8" t="s">
        <v>1416</v>
      </c>
    </row>
    <row r="20" spans="1:5" x14ac:dyDescent="0.35">
      <c r="A20" s="15" t="s">
        <v>521</v>
      </c>
      <c r="B20" s="16" t="s">
        <v>854</v>
      </c>
      <c r="C20" s="16" t="s">
        <v>1170</v>
      </c>
      <c r="D20" s="6" t="s">
        <v>1415</v>
      </c>
      <c r="E20" s="8" t="s">
        <v>1416</v>
      </c>
    </row>
    <row r="21" spans="1:5" x14ac:dyDescent="0.35">
      <c r="A21" s="15" t="s">
        <v>523</v>
      </c>
      <c r="B21" s="16" t="s">
        <v>856</v>
      </c>
      <c r="C21" s="16" t="s">
        <v>1165</v>
      </c>
      <c r="D21" s="6" t="s">
        <v>1415</v>
      </c>
      <c r="E21" s="8" t="s">
        <v>1416</v>
      </c>
    </row>
    <row r="22" spans="1:5" ht="33" customHeight="1" x14ac:dyDescent="0.35">
      <c r="A22" s="15" t="s">
        <v>526</v>
      </c>
      <c r="B22" s="16" t="s">
        <v>866</v>
      </c>
      <c r="C22" s="16" t="s">
        <v>1203</v>
      </c>
      <c r="D22" s="6" t="s">
        <v>1415</v>
      </c>
      <c r="E22" s="8" t="s">
        <v>1416</v>
      </c>
    </row>
    <row r="23" spans="1:5" x14ac:dyDescent="0.35">
      <c r="A23" s="15" t="s">
        <v>529</v>
      </c>
      <c r="B23" s="16" t="s">
        <v>859</v>
      </c>
      <c r="C23" s="16" t="s">
        <v>1165</v>
      </c>
      <c r="D23" s="6" t="s">
        <v>1415</v>
      </c>
      <c r="E23" s="8" t="s">
        <v>1416</v>
      </c>
    </row>
    <row r="24" spans="1:5" x14ac:dyDescent="0.35">
      <c r="A24" s="15" t="s">
        <v>532</v>
      </c>
      <c r="B24" s="16" t="s">
        <v>860</v>
      </c>
      <c r="C24" s="16" t="s">
        <v>1171</v>
      </c>
      <c r="D24" s="6" t="s">
        <v>1415</v>
      </c>
      <c r="E24" s="8" t="s">
        <v>1416</v>
      </c>
    </row>
    <row r="25" spans="1:5" x14ac:dyDescent="0.35">
      <c r="A25" s="15" t="s">
        <v>535</v>
      </c>
      <c r="B25" s="16" t="s">
        <v>863</v>
      </c>
      <c r="C25" s="16" t="s">
        <v>1172</v>
      </c>
      <c r="D25" s="6" t="s">
        <v>1415</v>
      </c>
      <c r="E25" s="8" t="s">
        <v>1416</v>
      </c>
    </row>
    <row r="26" spans="1:5" ht="29" x14ac:dyDescent="0.35">
      <c r="A26" s="15" t="s">
        <v>537</v>
      </c>
      <c r="B26" s="16" t="s">
        <v>864</v>
      </c>
      <c r="C26" s="16" t="s">
        <v>1173</v>
      </c>
      <c r="D26" s="6" t="s">
        <v>1415</v>
      </c>
      <c r="E26" s="8" t="s">
        <v>1416</v>
      </c>
    </row>
    <row r="27" spans="1:5" x14ac:dyDescent="0.35">
      <c r="A27" s="15" t="s">
        <v>539</v>
      </c>
      <c r="B27" s="16" t="s">
        <v>872</v>
      </c>
      <c r="C27" s="16" t="s">
        <v>1161</v>
      </c>
      <c r="D27" s="6" t="s">
        <v>1415</v>
      </c>
      <c r="E27" s="8" t="s">
        <v>1416</v>
      </c>
    </row>
    <row r="28" spans="1:5" x14ac:dyDescent="0.35">
      <c r="A28" s="15" t="s">
        <v>541</v>
      </c>
      <c r="B28" s="16" t="s">
        <v>868</v>
      </c>
      <c r="C28" s="16" t="s">
        <v>1171</v>
      </c>
      <c r="D28" s="6" t="s">
        <v>1415</v>
      </c>
      <c r="E28" s="8" t="s">
        <v>1416</v>
      </c>
    </row>
    <row r="29" spans="1:5" x14ac:dyDescent="0.35">
      <c r="A29" s="15" t="s">
        <v>544</v>
      </c>
      <c r="B29" s="16" t="s">
        <v>869</v>
      </c>
      <c r="C29" s="16" t="s">
        <v>1161</v>
      </c>
      <c r="D29" s="6" t="s">
        <v>1415</v>
      </c>
      <c r="E29" s="8" t="s">
        <v>1416</v>
      </c>
    </row>
    <row r="30" spans="1:5" ht="43.5" x14ac:dyDescent="0.35">
      <c r="A30" s="15" t="s">
        <v>546</v>
      </c>
      <c r="B30" s="16" t="s">
        <v>874</v>
      </c>
      <c r="C30" s="16" t="s">
        <v>1174</v>
      </c>
      <c r="D30" s="6" t="s">
        <v>1415</v>
      </c>
      <c r="E30" s="8" t="s">
        <v>1416</v>
      </c>
    </row>
    <row r="31" spans="1:5" ht="29" x14ac:dyDescent="0.35">
      <c r="A31" s="15" t="s">
        <v>548</v>
      </c>
      <c r="B31" s="16" t="s">
        <v>877</v>
      </c>
      <c r="C31" s="16" t="s">
        <v>1175</v>
      </c>
      <c r="D31" s="6" t="s">
        <v>1415</v>
      </c>
      <c r="E31" s="8" t="s">
        <v>1416</v>
      </c>
    </row>
    <row r="32" spans="1:5" ht="29" x14ac:dyDescent="0.35">
      <c r="A32" s="15" t="s">
        <v>550</v>
      </c>
      <c r="B32" s="16" t="s">
        <v>879</v>
      </c>
      <c r="C32" s="16" t="s">
        <v>1176</v>
      </c>
      <c r="D32" s="6" t="s">
        <v>1415</v>
      </c>
      <c r="E32" s="8" t="s">
        <v>1416</v>
      </c>
    </row>
    <row r="33" spans="1:5" x14ac:dyDescent="0.35">
      <c r="A33" s="15" t="s">
        <v>553</v>
      </c>
      <c r="B33" s="16" t="s">
        <v>829</v>
      </c>
      <c r="C33" s="16" t="s">
        <v>1161</v>
      </c>
      <c r="D33" s="6" t="s">
        <v>1415</v>
      </c>
      <c r="E33" s="8" t="s">
        <v>1416</v>
      </c>
    </row>
    <row r="34" spans="1:5" x14ac:dyDescent="0.35">
      <c r="A34" s="15" t="s">
        <v>556</v>
      </c>
      <c r="B34" s="16" t="s">
        <v>881</v>
      </c>
      <c r="C34" s="16" t="s">
        <v>1177</v>
      </c>
      <c r="D34" s="6" t="s">
        <v>1415</v>
      </c>
      <c r="E34" s="8" t="s">
        <v>1416</v>
      </c>
    </row>
    <row r="35" spans="1:5" x14ac:dyDescent="0.35">
      <c r="A35" s="15" t="s">
        <v>557</v>
      </c>
      <c r="B35" s="16" t="s">
        <v>883</v>
      </c>
      <c r="C35" s="16" t="s">
        <v>1161</v>
      </c>
      <c r="D35" s="6" t="s">
        <v>1415</v>
      </c>
      <c r="E35" s="8" t="s">
        <v>1416</v>
      </c>
    </row>
    <row r="36" spans="1:5" ht="21" customHeight="1" x14ac:dyDescent="0.35">
      <c r="A36" s="15" t="s">
        <v>559</v>
      </c>
      <c r="B36" s="16" t="s">
        <v>884</v>
      </c>
      <c r="C36" s="16" t="s">
        <v>1161</v>
      </c>
      <c r="D36" s="6" t="s">
        <v>1415</v>
      </c>
      <c r="E36" s="8" t="s">
        <v>1416</v>
      </c>
    </row>
    <row r="37" spans="1:5" x14ac:dyDescent="0.35">
      <c r="A37" s="15" t="s">
        <v>562</v>
      </c>
      <c r="B37" s="16" t="s">
        <v>821</v>
      </c>
      <c r="C37" s="16" t="s">
        <v>1161</v>
      </c>
      <c r="D37" s="6" t="s">
        <v>1415</v>
      </c>
      <c r="E37" s="8" t="s">
        <v>1416</v>
      </c>
    </row>
    <row r="38" spans="1:5" ht="43.5" x14ac:dyDescent="0.35">
      <c r="A38" s="15" t="s">
        <v>563</v>
      </c>
      <c r="B38" s="16" t="s">
        <v>888</v>
      </c>
      <c r="C38" s="16" t="s">
        <v>1178</v>
      </c>
      <c r="D38" s="6" t="s">
        <v>1415</v>
      </c>
      <c r="E38" s="8" t="s">
        <v>1416</v>
      </c>
    </row>
    <row r="39" spans="1:5" ht="43.5" x14ac:dyDescent="0.35">
      <c r="A39" s="15" t="s">
        <v>565</v>
      </c>
      <c r="B39" s="16" t="s">
        <v>889</v>
      </c>
      <c r="C39" s="16" t="s">
        <v>1161</v>
      </c>
      <c r="D39" s="6" t="s">
        <v>1415</v>
      </c>
      <c r="E39" s="8" t="s">
        <v>1416</v>
      </c>
    </row>
    <row r="40" spans="1:5" x14ac:dyDescent="0.35">
      <c r="A40" s="15" t="s">
        <v>567</v>
      </c>
      <c r="B40" s="16" t="s">
        <v>891</v>
      </c>
      <c r="C40" s="16" t="s">
        <v>1204</v>
      </c>
      <c r="D40" s="6" t="s">
        <v>1415</v>
      </c>
      <c r="E40" s="8" t="s">
        <v>1416</v>
      </c>
    </row>
    <row r="41" spans="1:5" x14ac:dyDescent="0.35">
      <c r="A41" s="15" t="s">
        <v>569</v>
      </c>
      <c r="B41" s="16" t="s">
        <v>893</v>
      </c>
      <c r="C41" s="16" t="s">
        <v>1205</v>
      </c>
      <c r="D41" s="6" t="s">
        <v>1415</v>
      </c>
      <c r="E41" s="8" t="s">
        <v>1416</v>
      </c>
    </row>
    <row r="42" spans="1:5" ht="58" x14ac:dyDescent="0.35">
      <c r="A42" s="15" t="s">
        <v>572</v>
      </c>
      <c r="B42" s="16" t="s">
        <v>898</v>
      </c>
      <c r="C42" s="16" t="s">
        <v>1179</v>
      </c>
      <c r="D42" s="6" t="s">
        <v>1415</v>
      </c>
      <c r="E42" s="8" t="s">
        <v>1416</v>
      </c>
    </row>
    <row r="43" spans="1:5" ht="48.5" customHeight="1" x14ac:dyDescent="0.35">
      <c r="A43" s="15" t="s">
        <v>574</v>
      </c>
      <c r="B43" s="16" t="s">
        <v>901</v>
      </c>
      <c r="C43" s="16" t="s">
        <v>1206</v>
      </c>
      <c r="D43" s="6" t="s">
        <v>1415</v>
      </c>
      <c r="E43" s="8" t="s">
        <v>1416</v>
      </c>
    </row>
    <row r="44" spans="1:5" ht="43.5" x14ac:dyDescent="0.35">
      <c r="A44" s="15" t="s">
        <v>577</v>
      </c>
      <c r="B44" s="16" t="s">
        <v>903</v>
      </c>
      <c r="C44" s="16" t="s">
        <v>1207</v>
      </c>
      <c r="D44" s="6" t="s">
        <v>1415</v>
      </c>
      <c r="E44" s="8" t="s">
        <v>1416</v>
      </c>
    </row>
    <row r="45" spans="1:5" ht="20" customHeight="1" x14ac:dyDescent="0.35">
      <c r="A45" s="15" t="s">
        <v>579</v>
      </c>
      <c r="B45" s="16" t="s">
        <v>905</v>
      </c>
      <c r="C45" s="16" t="s">
        <v>1161</v>
      </c>
      <c r="D45" s="6" t="s">
        <v>1415</v>
      </c>
      <c r="E45" s="8" t="s">
        <v>1416</v>
      </c>
    </row>
    <row r="46" spans="1:5" ht="58" x14ac:dyDescent="0.35">
      <c r="A46" s="15" t="s">
        <v>581</v>
      </c>
      <c r="B46" s="16" t="s">
        <v>907</v>
      </c>
      <c r="C46" s="16" t="s">
        <v>1208</v>
      </c>
      <c r="D46" s="6" t="s">
        <v>1415</v>
      </c>
      <c r="E46" s="8" t="s">
        <v>1416</v>
      </c>
    </row>
    <row r="47" spans="1:5" ht="29" x14ac:dyDescent="0.35">
      <c r="A47" s="15" t="s">
        <v>583</v>
      </c>
      <c r="B47" s="16" t="s">
        <v>908</v>
      </c>
      <c r="C47" s="16" t="s">
        <v>1180</v>
      </c>
      <c r="D47" s="6" t="s">
        <v>1415</v>
      </c>
      <c r="E47" s="8" t="s">
        <v>1416</v>
      </c>
    </row>
    <row r="48" spans="1:5" x14ac:dyDescent="0.35">
      <c r="A48" s="15" t="s">
        <v>585</v>
      </c>
      <c r="B48" s="16" t="s">
        <v>911</v>
      </c>
      <c r="C48" s="16" t="s">
        <v>1188</v>
      </c>
      <c r="D48" s="6" t="s">
        <v>1415</v>
      </c>
      <c r="E48" s="8" t="s">
        <v>1416</v>
      </c>
    </row>
    <row r="49" spans="1:5" x14ac:dyDescent="0.35">
      <c r="A49" s="15" t="s">
        <v>587</v>
      </c>
      <c r="B49" s="16" t="s">
        <v>912</v>
      </c>
      <c r="C49" s="16" t="s">
        <v>1181</v>
      </c>
      <c r="D49" s="6" t="s">
        <v>1415</v>
      </c>
      <c r="E49" s="8" t="s">
        <v>1416</v>
      </c>
    </row>
    <row r="50" spans="1:5" x14ac:dyDescent="0.35">
      <c r="A50" s="15" t="s">
        <v>590</v>
      </c>
      <c r="B50" s="16" t="s">
        <v>897</v>
      </c>
      <c r="C50" s="16" t="s">
        <v>1182</v>
      </c>
      <c r="D50" s="6" t="s">
        <v>1415</v>
      </c>
      <c r="E50" s="8" t="s">
        <v>1416</v>
      </c>
    </row>
    <row r="51" spans="1:5" ht="43.5" x14ac:dyDescent="0.35">
      <c r="A51" s="15" t="s">
        <v>592</v>
      </c>
      <c r="B51" s="16" t="s">
        <v>895</v>
      </c>
      <c r="C51" s="16" t="s">
        <v>1209</v>
      </c>
      <c r="D51" s="6" t="s">
        <v>1415</v>
      </c>
      <c r="E51" s="8" t="s">
        <v>1416</v>
      </c>
    </row>
    <row r="52" spans="1:5" ht="29" x14ac:dyDescent="0.35">
      <c r="A52" s="15" t="s">
        <v>594</v>
      </c>
      <c r="B52" s="16" t="s">
        <v>914</v>
      </c>
      <c r="C52" s="16" t="s">
        <v>1183</v>
      </c>
      <c r="D52" s="6" t="s">
        <v>1415</v>
      </c>
      <c r="E52" s="8" t="s">
        <v>1416</v>
      </c>
    </row>
    <row r="53" spans="1:5" x14ac:dyDescent="0.35">
      <c r="A53" s="15" t="s">
        <v>597</v>
      </c>
      <c r="B53" s="16" t="s">
        <v>916</v>
      </c>
      <c r="C53" s="16" t="s">
        <v>1181</v>
      </c>
      <c r="D53" s="6" t="s">
        <v>1415</v>
      </c>
      <c r="E53" s="8" t="s">
        <v>1416</v>
      </c>
    </row>
    <row r="54" spans="1:5" ht="29" x14ac:dyDescent="0.35">
      <c r="A54" s="15" t="s">
        <v>600</v>
      </c>
      <c r="B54" s="16" t="s">
        <v>918</v>
      </c>
      <c r="C54" s="16" t="s">
        <v>1177</v>
      </c>
      <c r="D54" s="6" t="s">
        <v>1415</v>
      </c>
      <c r="E54" s="8" t="s">
        <v>1416</v>
      </c>
    </row>
    <row r="55" spans="1:5" ht="29" x14ac:dyDescent="0.35">
      <c r="A55" s="15" t="s">
        <v>602</v>
      </c>
      <c r="B55" s="16" t="s">
        <v>920</v>
      </c>
      <c r="C55" s="16" t="s">
        <v>1184</v>
      </c>
      <c r="D55" s="6" t="s">
        <v>1415</v>
      </c>
      <c r="E55" s="8" t="s">
        <v>1416</v>
      </c>
    </row>
    <row r="56" spans="1:5" x14ac:dyDescent="0.35">
      <c r="A56" s="15" t="s">
        <v>604</v>
      </c>
      <c r="B56" s="16" t="s">
        <v>921</v>
      </c>
      <c r="C56" s="16" t="s">
        <v>1161</v>
      </c>
      <c r="D56" s="6" t="s">
        <v>1415</v>
      </c>
      <c r="E56" s="8" t="s">
        <v>1416</v>
      </c>
    </row>
    <row r="57" spans="1:5" x14ac:dyDescent="0.35">
      <c r="A57" s="15" t="s">
        <v>606</v>
      </c>
      <c r="B57" s="16" t="s">
        <v>922</v>
      </c>
      <c r="C57" s="16" t="s">
        <v>1161</v>
      </c>
      <c r="D57" s="6" t="s">
        <v>1415</v>
      </c>
      <c r="E57" s="8" t="s">
        <v>1416</v>
      </c>
    </row>
    <row r="58" spans="1:5" ht="29" x14ac:dyDescent="0.35">
      <c r="A58" s="15" t="s">
        <v>608</v>
      </c>
      <c r="B58" s="16" t="s">
        <v>924</v>
      </c>
      <c r="C58" s="16" t="s">
        <v>1165</v>
      </c>
      <c r="D58" s="6" t="s">
        <v>1415</v>
      </c>
      <c r="E58" s="8" t="s">
        <v>1416</v>
      </c>
    </row>
    <row r="59" spans="1:5" ht="43.5" x14ac:dyDescent="0.35">
      <c r="A59" s="15" t="s">
        <v>735</v>
      </c>
      <c r="B59" s="16" t="s">
        <v>926</v>
      </c>
      <c r="C59" s="16" t="s">
        <v>1210</v>
      </c>
      <c r="D59" s="6" t="s">
        <v>1415</v>
      </c>
      <c r="E59" s="8" t="s">
        <v>1416</v>
      </c>
    </row>
  </sheetData>
  <autoFilter ref="A1:E1" xr:uid="{7A368B58-FCE0-4F74-B20E-8CA79830520C}"/>
  <mergeCells count="2">
    <mergeCell ref="F1:H1"/>
    <mergeCell ref="K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BE01-9FD8-487F-B846-AB2D16635737}">
  <sheetPr>
    <tabColor rgb="FFFF0000"/>
  </sheetPr>
  <dimension ref="A1:R59"/>
  <sheetViews>
    <sheetView workbookViewId="0">
      <selection activeCell="F9" sqref="F9"/>
    </sheetView>
  </sheetViews>
  <sheetFormatPr defaultRowHeight="14.5" x14ac:dyDescent="0.35"/>
  <cols>
    <col min="2" max="2" width="32.453125" customWidth="1"/>
    <col min="3" max="3" width="11.1796875" bestFit="1" customWidth="1"/>
    <col min="8" max="8" width="16.7265625" bestFit="1" customWidth="1"/>
  </cols>
  <sheetData>
    <row r="1" spans="1:18" x14ac:dyDescent="0.35">
      <c r="A1" s="2" t="s">
        <v>469</v>
      </c>
      <c r="B1" s="2" t="s">
        <v>1333</v>
      </c>
      <c r="C1" s="49" t="s">
        <v>1399</v>
      </c>
      <c r="G1" s="1"/>
      <c r="H1" s="1"/>
      <c r="I1" s="1"/>
      <c r="J1" s="1"/>
      <c r="Q1" s="1"/>
      <c r="R1" s="1"/>
    </row>
    <row r="2" spans="1:18" x14ac:dyDescent="0.35">
      <c r="A2" s="4" t="s">
        <v>471</v>
      </c>
      <c r="B2" s="3" t="s">
        <v>1334</v>
      </c>
      <c r="C2" s="6" t="s">
        <v>1415</v>
      </c>
      <c r="G2" s="3"/>
      <c r="H2" s="3"/>
      <c r="I2" s="3"/>
      <c r="J2" s="3"/>
    </row>
    <row r="3" spans="1:18" x14ac:dyDescent="0.35">
      <c r="A3" s="4" t="s">
        <v>475</v>
      </c>
      <c r="B3" s="3" t="s">
        <v>1335</v>
      </c>
      <c r="C3" s="6" t="s">
        <v>1415</v>
      </c>
      <c r="G3" s="3"/>
      <c r="H3" s="3"/>
      <c r="I3" s="3"/>
      <c r="J3" s="3"/>
    </row>
    <row r="4" spans="1:18" x14ac:dyDescent="0.35">
      <c r="A4" s="4" t="s">
        <v>477</v>
      </c>
      <c r="B4" s="3" t="s">
        <v>1336</v>
      </c>
      <c r="C4" s="6" t="s">
        <v>1415</v>
      </c>
      <c r="G4" s="3"/>
      <c r="H4" s="3"/>
      <c r="I4" s="3"/>
      <c r="J4" s="3"/>
    </row>
    <row r="5" spans="1:18" x14ac:dyDescent="0.35">
      <c r="A5" s="4" t="s">
        <v>479</v>
      </c>
      <c r="B5" s="3" t="s">
        <v>1337</v>
      </c>
      <c r="C5" s="6" t="s">
        <v>1415</v>
      </c>
      <c r="G5" s="3"/>
      <c r="H5" s="3"/>
      <c r="I5" s="3"/>
      <c r="J5" s="3"/>
    </row>
    <row r="6" spans="1:18" x14ac:dyDescent="0.35">
      <c r="A6" s="4" t="s">
        <v>482</v>
      </c>
      <c r="B6" s="3" t="s">
        <v>1338</v>
      </c>
      <c r="C6" s="6" t="s">
        <v>1415</v>
      </c>
      <c r="G6" s="3"/>
      <c r="H6" s="3"/>
      <c r="I6" s="3"/>
      <c r="J6" s="3"/>
    </row>
    <row r="7" spans="1:18" x14ac:dyDescent="0.35">
      <c r="A7" s="4" t="s">
        <v>484</v>
      </c>
      <c r="B7" s="3" t="s">
        <v>1339</v>
      </c>
      <c r="C7" s="6" t="s">
        <v>1415</v>
      </c>
      <c r="G7" s="3"/>
      <c r="H7" s="3"/>
      <c r="I7" s="3"/>
      <c r="J7" s="3"/>
    </row>
    <row r="8" spans="1:18" x14ac:dyDescent="0.35">
      <c r="A8" s="4" t="s">
        <v>487</v>
      </c>
      <c r="B8" s="3" t="s">
        <v>1340</v>
      </c>
      <c r="C8" s="6" t="s">
        <v>1415</v>
      </c>
      <c r="G8" s="3"/>
      <c r="H8" s="3"/>
      <c r="I8" s="3"/>
      <c r="J8" s="3"/>
    </row>
    <row r="9" spans="1:18" x14ac:dyDescent="0.35">
      <c r="A9" s="4" t="s">
        <v>490</v>
      </c>
      <c r="B9" s="3" t="s">
        <v>1341</v>
      </c>
      <c r="C9" s="6" t="s">
        <v>1415</v>
      </c>
      <c r="G9" s="3"/>
      <c r="H9" s="3"/>
      <c r="I9" s="3"/>
      <c r="J9" s="3"/>
    </row>
    <row r="10" spans="1:18" x14ac:dyDescent="0.35">
      <c r="A10" s="4" t="s">
        <v>493</v>
      </c>
      <c r="B10" s="3" t="s">
        <v>1342</v>
      </c>
      <c r="C10" s="6" t="s">
        <v>1415</v>
      </c>
      <c r="G10" s="3"/>
      <c r="H10" s="3"/>
      <c r="I10" s="3"/>
      <c r="J10" s="3"/>
    </row>
    <row r="11" spans="1:18" x14ac:dyDescent="0.35">
      <c r="A11" s="4" t="s">
        <v>496</v>
      </c>
      <c r="B11" s="3" t="s">
        <v>1343</v>
      </c>
      <c r="C11" s="6" t="s">
        <v>1415</v>
      </c>
      <c r="G11" s="3"/>
      <c r="H11" s="3"/>
      <c r="I11" s="3"/>
      <c r="J11" s="3"/>
    </row>
    <row r="12" spans="1:18" x14ac:dyDescent="0.35">
      <c r="A12" s="39" t="s">
        <v>498</v>
      </c>
      <c r="B12" s="3" t="s">
        <v>1344</v>
      </c>
      <c r="C12" s="6" t="s">
        <v>1415</v>
      </c>
      <c r="E12" s="3"/>
      <c r="F12" s="3"/>
      <c r="G12" s="3"/>
      <c r="H12" s="3"/>
      <c r="I12" s="3"/>
      <c r="J12" s="3"/>
    </row>
    <row r="13" spans="1:18" x14ac:dyDescent="0.35">
      <c r="A13" s="39" t="s">
        <v>501</v>
      </c>
      <c r="B13" s="3" t="s">
        <v>1345</v>
      </c>
      <c r="C13" s="6" t="s">
        <v>1415</v>
      </c>
      <c r="E13" s="3"/>
      <c r="F13" s="3"/>
      <c r="G13" s="3"/>
      <c r="H13" s="3"/>
      <c r="I13" s="3"/>
      <c r="J13" s="3"/>
    </row>
    <row r="14" spans="1:18" x14ac:dyDescent="0.35">
      <c r="A14" s="39" t="s">
        <v>504</v>
      </c>
      <c r="B14" s="3" t="s">
        <v>1346</v>
      </c>
      <c r="C14" s="6" t="s">
        <v>1415</v>
      </c>
      <c r="E14" s="3"/>
      <c r="F14" s="3"/>
      <c r="G14" s="3"/>
      <c r="H14" s="3"/>
      <c r="I14" s="3"/>
      <c r="J14" s="3"/>
    </row>
    <row r="15" spans="1:18" x14ac:dyDescent="0.35">
      <c r="A15" s="39" t="s">
        <v>506</v>
      </c>
      <c r="B15" s="3" t="s">
        <v>1347</v>
      </c>
      <c r="C15" s="6" t="s">
        <v>1415</v>
      </c>
      <c r="E15" s="3"/>
      <c r="F15" s="3"/>
      <c r="G15" s="3"/>
      <c r="H15" s="3"/>
      <c r="I15" s="3"/>
      <c r="J15" s="3"/>
    </row>
    <row r="16" spans="1:18" x14ac:dyDescent="0.35">
      <c r="A16" s="39" t="s">
        <v>509</v>
      </c>
      <c r="B16" s="3" t="s">
        <v>1348</v>
      </c>
      <c r="C16" s="6" t="s">
        <v>1415</v>
      </c>
      <c r="E16" s="3"/>
      <c r="F16" s="3"/>
      <c r="G16" s="3"/>
      <c r="H16" s="3"/>
      <c r="I16" s="3"/>
      <c r="J16" s="3"/>
    </row>
    <row r="17" spans="1:10" x14ac:dyDescent="0.35">
      <c r="A17" s="39" t="s">
        <v>512</v>
      </c>
      <c r="B17" s="3" t="s">
        <v>1349</v>
      </c>
      <c r="C17" s="6" t="s">
        <v>1415</v>
      </c>
      <c r="E17" s="3"/>
      <c r="F17" s="3"/>
      <c r="G17" s="3"/>
      <c r="H17" s="3"/>
      <c r="I17" s="3"/>
      <c r="J17" s="3"/>
    </row>
    <row r="18" spans="1:10" x14ac:dyDescent="0.35">
      <c r="A18" s="39" t="s">
        <v>515</v>
      </c>
      <c r="B18" s="3" t="s">
        <v>1350</v>
      </c>
      <c r="C18" s="6" t="s">
        <v>1415</v>
      </c>
      <c r="E18" s="3"/>
      <c r="F18" s="3"/>
      <c r="G18" s="3"/>
      <c r="H18" s="3"/>
      <c r="I18" s="3"/>
      <c r="J18" s="3"/>
    </row>
    <row r="19" spans="1:10" x14ac:dyDescent="0.35">
      <c r="A19" s="39" t="s">
        <v>518</v>
      </c>
      <c r="B19" s="3" t="s">
        <v>1351</v>
      </c>
      <c r="C19" s="6" t="s">
        <v>1415</v>
      </c>
      <c r="E19" s="3"/>
      <c r="F19" s="3"/>
      <c r="G19" s="3"/>
      <c r="H19" s="3"/>
      <c r="I19" s="3"/>
      <c r="J19" s="3"/>
    </row>
    <row r="20" spans="1:10" x14ac:dyDescent="0.35">
      <c r="A20" s="39" t="s">
        <v>521</v>
      </c>
      <c r="B20" s="3" t="s">
        <v>1352</v>
      </c>
      <c r="C20" s="6" t="s">
        <v>1415</v>
      </c>
      <c r="E20" s="3"/>
      <c r="F20" s="3"/>
      <c r="G20" s="3"/>
      <c r="H20" s="3"/>
      <c r="I20" s="3"/>
      <c r="J20" s="3"/>
    </row>
    <row r="21" spans="1:10" x14ac:dyDescent="0.35">
      <c r="A21" s="39" t="s">
        <v>523</v>
      </c>
      <c r="B21" s="3" t="s">
        <v>1353</v>
      </c>
      <c r="C21" s="6" t="s">
        <v>1415</v>
      </c>
      <c r="E21" s="3"/>
      <c r="F21" s="3"/>
      <c r="G21" s="3"/>
      <c r="H21" s="3"/>
      <c r="I21" s="3"/>
      <c r="J21" s="3"/>
    </row>
    <row r="22" spans="1:10" x14ac:dyDescent="0.35">
      <c r="A22" s="39" t="s">
        <v>526</v>
      </c>
      <c r="B22" s="3" t="s">
        <v>1354</v>
      </c>
      <c r="C22" s="6" t="s">
        <v>1415</v>
      </c>
      <c r="E22" s="3"/>
      <c r="F22" s="3"/>
      <c r="G22" s="3"/>
      <c r="H22" s="3"/>
      <c r="I22" s="3"/>
      <c r="J22" s="3"/>
    </row>
    <row r="23" spans="1:10" x14ac:dyDescent="0.35">
      <c r="A23" s="39" t="s">
        <v>529</v>
      </c>
      <c r="B23" s="3" t="s">
        <v>1355</v>
      </c>
      <c r="C23" s="6" t="s">
        <v>1415</v>
      </c>
      <c r="E23" s="3"/>
      <c r="F23" s="3"/>
      <c r="G23" s="3"/>
      <c r="H23" s="3"/>
      <c r="I23" s="3"/>
      <c r="J23" s="3"/>
    </row>
    <row r="24" spans="1:10" x14ac:dyDescent="0.35">
      <c r="A24" s="39" t="s">
        <v>532</v>
      </c>
      <c r="B24" s="3" t="s">
        <v>1356</v>
      </c>
      <c r="C24" s="6" t="s">
        <v>1415</v>
      </c>
      <c r="E24" s="3"/>
      <c r="F24" s="3"/>
      <c r="G24" s="3"/>
      <c r="H24" s="3"/>
      <c r="I24" s="3"/>
      <c r="J24" s="3"/>
    </row>
    <row r="25" spans="1:10" x14ac:dyDescent="0.35">
      <c r="A25" s="39" t="s">
        <v>535</v>
      </c>
      <c r="B25" s="3" t="s">
        <v>1357</v>
      </c>
      <c r="C25" s="6" t="s">
        <v>1415</v>
      </c>
      <c r="E25" s="3"/>
      <c r="F25" s="3"/>
      <c r="G25" s="3"/>
      <c r="H25" s="3"/>
      <c r="I25" s="3"/>
      <c r="J25" s="3"/>
    </row>
    <row r="26" spans="1:10" x14ac:dyDescent="0.35">
      <c r="A26" s="39" t="s">
        <v>537</v>
      </c>
      <c r="B26" s="3" t="s">
        <v>1358</v>
      </c>
      <c r="C26" s="6" t="s">
        <v>1415</v>
      </c>
      <c r="E26" s="3"/>
      <c r="F26" s="3"/>
      <c r="G26" s="3"/>
      <c r="H26" s="3"/>
      <c r="I26" s="3"/>
      <c r="J26" s="3"/>
    </row>
    <row r="27" spans="1:10" x14ac:dyDescent="0.35">
      <c r="A27" s="39" t="s">
        <v>539</v>
      </c>
      <c r="B27" s="3" t="s">
        <v>1359</v>
      </c>
      <c r="C27" s="6" t="s">
        <v>1415</v>
      </c>
      <c r="E27" s="3"/>
      <c r="F27" s="3"/>
      <c r="G27" s="3"/>
      <c r="H27" s="3"/>
      <c r="I27" s="3"/>
      <c r="J27" s="3"/>
    </row>
    <row r="28" spans="1:10" x14ac:dyDescent="0.35">
      <c r="A28" s="39" t="s">
        <v>541</v>
      </c>
      <c r="B28" s="3" t="s">
        <v>1360</v>
      </c>
      <c r="C28" s="6" t="s">
        <v>1415</v>
      </c>
      <c r="E28" s="3"/>
      <c r="F28" s="3"/>
      <c r="G28" s="3"/>
      <c r="H28" s="3"/>
      <c r="I28" s="3"/>
      <c r="J28" s="3"/>
    </row>
    <row r="29" spans="1:10" x14ac:dyDescent="0.35">
      <c r="A29" s="39" t="s">
        <v>544</v>
      </c>
      <c r="B29" s="3" t="s">
        <v>1361</v>
      </c>
      <c r="C29" s="6" t="s">
        <v>1415</v>
      </c>
      <c r="E29" s="3"/>
      <c r="F29" s="3"/>
      <c r="G29" s="3"/>
      <c r="H29" s="3"/>
      <c r="I29" s="3"/>
      <c r="J29" s="3"/>
    </row>
    <row r="30" spans="1:10" x14ac:dyDescent="0.35">
      <c r="A30" s="39" t="s">
        <v>546</v>
      </c>
      <c r="B30" s="3" t="s">
        <v>1362</v>
      </c>
      <c r="C30" s="6" t="s">
        <v>1415</v>
      </c>
      <c r="E30" s="3"/>
      <c r="F30" s="3"/>
      <c r="G30" s="3"/>
      <c r="H30" s="3"/>
      <c r="I30" s="3"/>
      <c r="J30" s="3"/>
    </row>
    <row r="31" spans="1:10" x14ac:dyDescent="0.35">
      <c r="A31" s="39" t="s">
        <v>548</v>
      </c>
      <c r="B31" s="3" t="s">
        <v>1363</v>
      </c>
      <c r="C31" s="6" t="s">
        <v>1415</v>
      </c>
      <c r="E31" s="3"/>
      <c r="F31" s="3"/>
      <c r="G31" s="3"/>
      <c r="H31" s="3"/>
      <c r="I31" s="3"/>
      <c r="J31" s="3"/>
    </row>
    <row r="32" spans="1:10" x14ac:dyDescent="0.35">
      <c r="A32" s="39" t="s">
        <v>550</v>
      </c>
      <c r="B32" t="s">
        <v>1364</v>
      </c>
      <c r="C32" s="6" t="s">
        <v>1415</v>
      </c>
      <c r="E32" s="3"/>
      <c r="F32" s="3"/>
      <c r="G32" s="3"/>
      <c r="H32" s="3"/>
      <c r="I32" s="3"/>
      <c r="J32" s="3"/>
    </row>
    <row r="33" spans="1:10" x14ac:dyDescent="0.35">
      <c r="A33" s="39" t="s">
        <v>553</v>
      </c>
      <c r="B33" t="s">
        <v>1365</v>
      </c>
      <c r="C33" s="6" t="s">
        <v>1415</v>
      </c>
      <c r="E33" s="3"/>
      <c r="F33" s="3"/>
      <c r="G33" s="3"/>
      <c r="H33" s="3"/>
      <c r="I33" s="3"/>
      <c r="J33" s="3"/>
    </row>
    <row r="34" spans="1:10" x14ac:dyDescent="0.35">
      <c r="A34" s="39" t="s">
        <v>556</v>
      </c>
      <c r="B34" t="s">
        <v>1366</v>
      </c>
      <c r="C34" s="6" t="s">
        <v>1415</v>
      </c>
      <c r="E34" s="3"/>
      <c r="F34" s="3"/>
      <c r="G34" s="3"/>
      <c r="H34" s="3"/>
      <c r="I34" s="3"/>
      <c r="J34" s="3"/>
    </row>
    <row r="35" spans="1:10" x14ac:dyDescent="0.35">
      <c r="A35" s="39" t="s">
        <v>557</v>
      </c>
      <c r="B35" t="s">
        <v>1367</v>
      </c>
      <c r="C35" s="6" t="s">
        <v>1415</v>
      </c>
      <c r="E35" s="3"/>
      <c r="F35" s="3"/>
      <c r="G35" s="3"/>
      <c r="H35" s="3"/>
      <c r="I35" s="3"/>
      <c r="J35" s="3"/>
    </row>
    <row r="36" spans="1:10" x14ac:dyDescent="0.35">
      <c r="A36" s="39" t="s">
        <v>559</v>
      </c>
      <c r="B36" t="s">
        <v>1368</v>
      </c>
      <c r="C36" s="6" t="s">
        <v>1415</v>
      </c>
      <c r="E36" s="3"/>
      <c r="F36" s="3"/>
      <c r="G36" s="3"/>
      <c r="H36" s="3"/>
      <c r="I36" s="3"/>
      <c r="J36" s="3"/>
    </row>
    <row r="37" spans="1:10" x14ac:dyDescent="0.35">
      <c r="A37" s="39" t="s">
        <v>562</v>
      </c>
      <c r="B37" t="s">
        <v>1369</v>
      </c>
      <c r="C37" s="6" t="s">
        <v>1415</v>
      </c>
      <c r="E37" s="3"/>
      <c r="F37" s="3"/>
      <c r="G37" s="3"/>
      <c r="H37" s="3"/>
      <c r="I37" s="3"/>
      <c r="J37" s="3"/>
    </row>
    <row r="38" spans="1:10" x14ac:dyDescent="0.35">
      <c r="A38" s="39" t="s">
        <v>563</v>
      </c>
      <c r="B38" t="s">
        <v>1370</v>
      </c>
      <c r="C38" s="6" t="s">
        <v>1415</v>
      </c>
      <c r="E38" s="3"/>
      <c r="F38" s="3"/>
      <c r="G38" s="3"/>
      <c r="H38" s="3"/>
      <c r="I38" s="3"/>
      <c r="J38" s="3"/>
    </row>
    <row r="39" spans="1:10" x14ac:dyDescent="0.35">
      <c r="A39" s="39" t="s">
        <v>565</v>
      </c>
      <c r="B39" t="s">
        <v>1371</v>
      </c>
      <c r="C39" s="6" t="s">
        <v>1415</v>
      </c>
      <c r="E39" s="3"/>
      <c r="F39" s="3"/>
      <c r="G39" s="3"/>
      <c r="H39" s="3"/>
      <c r="I39" s="3"/>
      <c r="J39" s="3"/>
    </row>
    <row r="40" spans="1:10" x14ac:dyDescent="0.35">
      <c r="A40" s="39" t="s">
        <v>567</v>
      </c>
      <c r="B40" t="s">
        <v>1372</v>
      </c>
      <c r="C40" s="6" t="s">
        <v>1415</v>
      </c>
      <c r="E40" s="3"/>
      <c r="F40" s="3"/>
      <c r="G40" s="3"/>
      <c r="H40" s="3"/>
      <c r="I40" s="3"/>
      <c r="J40" s="3"/>
    </row>
    <row r="41" spans="1:10" x14ac:dyDescent="0.35">
      <c r="A41" s="39" t="s">
        <v>569</v>
      </c>
      <c r="B41" t="s">
        <v>1373</v>
      </c>
      <c r="C41" s="6" t="s">
        <v>1415</v>
      </c>
      <c r="E41" s="3"/>
      <c r="F41" s="3"/>
      <c r="G41" s="3"/>
      <c r="H41" s="3"/>
      <c r="I41" s="3"/>
      <c r="J41" s="3"/>
    </row>
    <row r="42" spans="1:10" x14ac:dyDescent="0.35">
      <c r="A42" s="39" t="s">
        <v>572</v>
      </c>
      <c r="B42" t="s">
        <v>1374</v>
      </c>
      <c r="C42" s="6" t="s">
        <v>1415</v>
      </c>
      <c r="E42" s="3"/>
      <c r="F42" s="3"/>
      <c r="G42" s="3"/>
      <c r="H42" s="3"/>
      <c r="I42" s="3"/>
      <c r="J42" s="3"/>
    </row>
    <row r="43" spans="1:10" x14ac:dyDescent="0.35">
      <c r="A43" s="39" t="s">
        <v>574</v>
      </c>
      <c r="B43" t="s">
        <v>1375</v>
      </c>
      <c r="C43" s="6" t="s">
        <v>1415</v>
      </c>
      <c r="E43" s="3"/>
      <c r="F43" s="3"/>
      <c r="G43" s="3"/>
      <c r="H43" s="3"/>
      <c r="I43" s="3"/>
      <c r="J43" s="3"/>
    </row>
    <row r="44" spans="1:10" x14ac:dyDescent="0.35">
      <c r="A44" s="39" t="s">
        <v>577</v>
      </c>
      <c r="B44" t="s">
        <v>1376</v>
      </c>
      <c r="C44" s="6" t="s">
        <v>1415</v>
      </c>
      <c r="E44" s="3"/>
      <c r="F44" s="3"/>
      <c r="G44" s="3"/>
      <c r="H44" s="3"/>
      <c r="I44" s="3"/>
      <c r="J44" s="3"/>
    </row>
    <row r="45" spans="1:10" x14ac:dyDescent="0.35">
      <c r="A45" s="39" t="s">
        <v>579</v>
      </c>
      <c r="B45" t="s">
        <v>1377</v>
      </c>
      <c r="C45" s="6" t="s">
        <v>1415</v>
      </c>
      <c r="E45" s="3"/>
      <c r="F45" s="3"/>
      <c r="G45" s="3"/>
      <c r="H45" s="3"/>
      <c r="I45" s="3"/>
      <c r="J45" s="3"/>
    </row>
    <row r="46" spans="1:10" x14ac:dyDescent="0.35">
      <c r="A46" s="39" t="s">
        <v>581</v>
      </c>
      <c r="B46" t="s">
        <v>1378</v>
      </c>
      <c r="C46" s="6" t="s">
        <v>1415</v>
      </c>
      <c r="E46" s="3"/>
      <c r="F46" s="3"/>
      <c r="G46" s="3"/>
      <c r="H46" s="3"/>
      <c r="I46" s="3"/>
      <c r="J46" s="3"/>
    </row>
    <row r="47" spans="1:10" x14ac:dyDescent="0.35">
      <c r="A47" s="39" t="s">
        <v>583</v>
      </c>
      <c r="B47" t="s">
        <v>1379</v>
      </c>
      <c r="C47" s="6" t="s">
        <v>1415</v>
      </c>
      <c r="E47" s="3"/>
      <c r="F47" s="3"/>
      <c r="G47" s="3"/>
      <c r="H47" s="3"/>
      <c r="I47" s="3"/>
      <c r="J47" s="3"/>
    </row>
    <row r="48" spans="1:10" x14ac:dyDescent="0.35">
      <c r="A48" s="39" t="s">
        <v>585</v>
      </c>
      <c r="B48" t="s">
        <v>1380</v>
      </c>
      <c r="C48" s="6" t="s">
        <v>1415</v>
      </c>
      <c r="E48" s="3"/>
      <c r="F48" s="3"/>
      <c r="G48" s="3"/>
      <c r="H48" s="3"/>
      <c r="I48" s="3"/>
      <c r="J48" s="3"/>
    </row>
    <row r="49" spans="1:10" x14ac:dyDescent="0.35">
      <c r="A49" s="39" t="s">
        <v>587</v>
      </c>
      <c r="B49" t="s">
        <v>1381</v>
      </c>
      <c r="C49" s="6" t="s">
        <v>1415</v>
      </c>
      <c r="E49" s="3"/>
      <c r="F49" s="3"/>
      <c r="G49" s="3"/>
      <c r="H49" s="3"/>
      <c r="I49" s="3"/>
      <c r="J49" s="3"/>
    </row>
    <row r="50" spans="1:10" x14ac:dyDescent="0.35">
      <c r="A50" s="39" t="s">
        <v>590</v>
      </c>
      <c r="B50" t="s">
        <v>1382</v>
      </c>
      <c r="C50" s="6" t="s">
        <v>1415</v>
      </c>
      <c r="E50" s="3"/>
      <c r="F50" s="3"/>
      <c r="G50" s="3"/>
      <c r="H50" s="3"/>
      <c r="I50" s="3"/>
      <c r="J50" s="3"/>
    </row>
    <row r="51" spans="1:10" x14ac:dyDescent="0.35">
      <c r="A51" s="39" t="s">
        <v>592</v>
      </c>
      <c r="B51" t="s">
        <v>1383</v>
      </c>
      <c r="C51" s="6" t="s">
        <v>1415</v>
      </c>
      <c r="E51" s="3"/>
      <c r="F51" s="3"/>
      <c r="G51" s="3"/>
      <c r="H51" s="3"/>
      <c r="I51" s="3"/>
      <c r="J51" s="3"/>
    </row>
    <row r="52" spans="1:10" x14ac:dyDescent="0.35">
      <c r="A52" s="39" t="s">
        <v>594</v>
      </c>
      <c r="B52" t="s">
        <v>1384</v>
      </c>
      <c r="C52" s="6" t="s">
        <v>1415</v>
      </c>
      <c r="E52" s="3"/>
      <c r="F52" s="3"/>
      <c r="G52" s="3"/>
      <c r="H52" s="3"/>
      <c r="I52" s="3"/>
      <c r="J52" s="3"/>
    </row>
    <row r="53" spans="1:10" x14ac:dyDescent="0.35">
      <c r="A53" s="39" t="s">
        <v>597</v>
      </c>
      <c r="B53" t="s">
        <v>1385</v>
      </c>
      <c r="C53" s="6" t="s">
        <v>1415</v>
      </c>
      <c r="E53" s="3"/>
      <c r="F53" s="3"/>
      <c r="G53" s="3"/>
      <c r="H53" s="3"/>
      <c r="I53" s="3"/>
      <c r="J53" s="3"/>
    </row>
    <row r="54" spans="1:10" x14ac:dyDescent="0.35">
      <c r="A54" s="39" t="s">
        <v>600</v>
      </c>
      <c r="B54" t="s">
        <v>1386</v>
      </c>
      <c r="C54" s="6" t="s">
        <v>1415</v>
      </c>
      <c r="E54" s="3"/>
      <c r="F54" s="3"/>
      <c r="G54" s="3"/>
      <c r="H54" s="3"/>
      <c r="I54" s="3"/>
      <c r="J54" s="3"/>
    </row>
    <row r="55" spans="1:10" x14ac:dyDescent="0.35">
      <c r="A55" s="39" t="s">
        <v>602</v>
      </c>
      <c r="B55" t="s">
        <v>1387</v>
      </c>
      <c r="C55" s="6" t="s">
        <v>1415</v>
      </c>
      <c r="E55" s="3"/>
      <c r="F55" s="3"/>
      <c r="G55" s="3"/>
      <c r="H55" s="3"/>
      <c r="J55" s="3"/>
    </row>
    <row r="56" spans="1:10" x14ac:dyDescent="0.35">
      <c r="A56" s="39" t="s">
        <v>604</v>
      </c>
      <c r="B56" t="s">
        <v>1388</v>
      </c>
      <c r="C56" s="6" t="s">
        <v>1415</v>
      </c>
      <c r="E56" s="3"/>
      <c r="F56" s="3"/>
      <c r="G56" s="3"/>
      <c r="H56" s="3"/>
      <c r="J56" s="3"/>
    </row>
    <row r="57" spans="1:10" x14ac:dyDescent="0.35">
      <c r="A57" s="39" t="s">
        <v>606</v>
      </c>
      <c r="B57" t="s">
        <v>1389</v>
      </c>
      <c r="C57" s="6" t="s">
        <v>1415</v>
      </c>
    </row>
    <row r="58" spans="1:10" x14ac:dyDescent="0.35">
      <c r="A58" s="39" t="s">
        <v>608</v>
      </c>
      <c r="B58" t="s">
        <v>1390</v>
      </c>
      <c r="C58" s="6" t="s">
        <v>1415</v>
      </c>
    </row>
    <row r="59" spans="1:10" x14ac:dyDescent="0.35">
      <c r="A59" s="39" t="s">
        <v>735</v>
      </c>
      <c r="B59" t="s">
        <v>1391</v>
      </c>
      <c r="C59" s="6" t="s">
        <v>1415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Reporting Quality Assessment</vt:lpstr>
      <vt:lpstr>Articles Extraction</vt:lpstr>
      <vt:lpstr>Demographic Analysis</vt:lpstr>
      <vt:lpstr>Modality Analysis</vt:lpstr>
      <vt:lpstr>Achitectural Design Analysis</vt:lpstr>
      <vt:lpstr>Tokenization &amp; Alignment Analys</vt:lpstr>
      <vt:lpstr>Task Extraction &amp; Analysis</vt:lpstr>
      <vt:lpstr>Datasets</vt:lpstr>
      <vt:lpstr>Evaluation Metrics</vt:lpstr>
      <vt:lpstr>Challenges &amp; Limitations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Muhammad Bala Umar</cp:lastModifiedBy>
  <dcterms:created xsi:type="dcterms:W3CDTF">2026-05-04T10:54:09Z</dcterms:created>
  <dcterms:modified xsi:type="dcterms:W3CDTF">2026-10-13T04:43:09Z</dcterms:modified>
</cp:coreProperties>
</file>